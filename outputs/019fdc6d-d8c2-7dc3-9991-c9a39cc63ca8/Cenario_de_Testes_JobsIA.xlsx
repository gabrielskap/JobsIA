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2a468e6b7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15636d1704842b6"/>
    <x:sheet xmlns:r="http://schemas.openxmlformats.org/officeDocument/2006/relationships" name="Matriz Cobertura" sheetId="2" r:id="Ra23d485ac1d14f1c"/>
    <x:sheet xmlns:r="http://schemas.openxmlformats.org/officeDocument/2006/relationships" name="Cenarios Existentes" sheetId="3" r:id="R19953273f023479b"/>
    <x:sheet xmlns:r="http://schemas.openxmlformats.org/officeDocument/2006/relationships" name="Lacunas Priorizadas" sheetId="4" r:id="R3ee3145f40184977"/>
    <x:sheet xmlns:r="http://schemas.openxmlformats.org/officeDocument/2006/relationships" name="Criterios e Metodo" sheetId="5" r:id="R995a0cb6cb8b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20"/>
      <x:color rgb="FF17365D"/>
      <x:name val="Carlito"/>
    </x:font>
    <x:font>
      <x:b/>
      <x:sz val="11"/>
      <x:color rgb="FF17365D"/>
      <x:name val="Carlito"/>
    </x:font>
    <x:font>
      <x:sz val="9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595959"/>
      <x:name val="Aptos"/>
    </x:font>
    <x:font>
      <x:b/>
      <x:sz val="10"/>
      <x:color rgb="FFC00000"/>
      <x:name val="Aptos"/>
    </x:font>
    <x:font>
      <x:b/>
      <x:sz val="10"/>
      <x:color rgb="FF17365D"/>
      <x:name val="Aptos"/>
    </x:font>
    <x:font>
      <x:b/>
      <x:sz val="18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</x:fills>
  <x:borders count="23">
    <x:border/>
    <x:border>
      <x:left style="medium">
        <x:color rgb="FFC00000"/>
      </x:left>
      <x:top style="medium">
        <x:color rgb="FFC00000"/>
      </x:top>
      <x:bottom style="medium">
        <x:color rgb="FFC00000"/>
      </x:bottom>
    </x:border>
    <x:border>
      <x:top style="medium">
        <x:color rgb="FFC00000"/>
      </x:top>
      <x:bottom style="medium">
        <x:color rgb="FFC00000"/>
      </x:bottom>
    </x:border>
    <x:border>
      <x:right style="medium">
        <x:color rgb="FFC00000"/>
      </x:right>
      <x:top style="medium">
        <x:color rgb="FFC00000"/>
      </x:top>
      <x:bottom style="medium">
        <x:color rgb="FFC00000"/>
      </x:bottom>
    </x:border>
    <x:border>
      <x:left style="thin">
        <x:color rgb="FF17365D"/>
      </x:left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</x:borders>
  <x:cellStyleXfs count="1">
    <x:xf numFmtId="0" fontId="0" fillId="0" borderId="0"/>
  </x:cellStyleXfs>
  <x:cellXfs count="2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200" fontId="5" fillId="5" borderId="4" xfId="0" applyNumberFormat="1" applyFont="1" applyFill="1" applyBorder="1"/>
    <x:xf numFmtId="200" fontId="5" fillId="5" borderId="5" xfId="0" applyNumberFormat="1" applyFont="1" applyFill="1" applyBorder="1"/>
    <x:xf numFmtId="200" fontId="5" fillId="5" borderId="6" xfId="0" applyNumberFormat="1" applyFont="1" applyFill="1" applyBorder="1"/>
    <x:xf numFmtId="200" fontId="5" fillId="5" borderId="7" xfId="0" applyNumberFormat="1" applyFont="1" applyFill="1" applyBorder="1"/>
    <x:xf numFmtId="200" fontId="5" fillId="5" borderId="4" xfId="0" applyNumberFormat="1" applyFont="1" applyFill="1" applyBorder="1" applyAlignment="1">
      <x:alignment horizontal="center"/>
    </x:xf>
    <x:xf numFmtId="200" fontId="5" fillId="5" borderId="5" xfId="0" applyNumberFormat="1" applyFont="1" applyFill="1" applyBorder="1" applyAlignment="1">
      <x:alignment horizontal="center"/>
    </x:xf>
    <x:xf numFmtId="200" fontId="5" fillId="5" borderId="6" xfId="0" applyNumberFormat="1" applyFont="1" applyFill="1" applyBorder="1" applyAlignment="1">
      <x:alignment horizontal="center"/>
    </x:xf>
    <x:xf numFmtId="200" fontId="5" fillId="5" borderId="7" xfId="0" applyNumberFormat="1" applyFont="1" applyFill="1" applyBorder="1" applyAlignment="1">
      <x:alignment horizontal="center"/>
    </x:xf>
    <x:xf numFmtId="200" fontId="5" fillId="5" borderId="4" xfId="0" applyNumberFormat="1" applyFont="1" applyFill="1" applyBorder="1" applyAlignment="1">
      <x:alignment horizontal="center" vertical="center"/>
    </x:xf>
    <x:xf numFmtId="200" fontId="5" fillId="5" borderId="5" xfId="0" applyNumberFormat="1" applyFont="1" applyFill="1" applyBorder="1" applyAlignment="1">
      <x:alignment horizontal="center" vertical="center"/>
    </x:xf>
    <x:xf numFmtId="200" fontId="5" fillId="5" borderId="6" xfId="0" applyNumberFormat="1" applyFont="1" applyFill="1" applyBorder="1" applyAlignment="1">
      <x:alignment horizontal="center" vertical="center"/>
    </x:xf>
    <x:xf numFmtId="200" fontId="5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201" fontId="5" fillId="6" borderId="4" xfId="0" applyNumberFormat="1" applyFont="1" applyFill="1" applyBorder="1"/>
    <x:xf numFmtId="201" fontId="5" fillId="6" borderId="5" xfId="0" applyNumberFormat="1" applyFont="1" applyFill="1" applyBorder="1"/>
    <x:xf numFmtId="201" fontId="5" fillId="6" borderId="6" xfId="0" applyNumberFormat="1" applyFont="1" applyFill="1" applyBorder="1"/>
    <x:xf numFmtId="201" fontId="5" fillId="6" borderId="7" xfId="0" applyNumberFormat="1" applyFont="1" applyFill="1" applyBorder="1"/>
    <x:xf numFmtId="201" fontId="5" fillId="6" borderId="4" xfId="0" applyNumberFormat="1" applyFont="1" applyFill="1" applyBorder="1" applyAlignment="1">
      <x:alignment horizontal="center"/>
    </x:xf>
    <x:xf numFmtId="201" fontId="5" fillId="6" borderId="5" xfId="0" applyNumberFormat="1" applyFont="1" applyFill="1" applyBorder="1" applyAlignment="1">
      <x:alignment horizontal="center"/>
    </x:xf>
    <x:xf numFmtId="201" fontId="5" fillId="6" borderId="6" xfId="0" applyNumberFormat="1" applyFont="1" applyFill="1" applyBorder="1" applyAlignment="1">
      <x:alignment horizontal="center"/>
    </x:xf>
    <x:xf numFmtId="201" fontId="5" fillId="6" borderId="7" xfId="0" applyNumberFormat="1" applyFont="1" applyFill="1" applyBorder="1" applyAlignment="1">
      <x:alignment horizontal="center"/>
    </x:xf>
    <x:xf numFmtId="201" fontId="5" fillId="6" borderId="4" xfId="0" applyNumberFormat="1" applyFont="1" applyFill="1" applyBorder="1" applyAlignment="1">
      <x:alignment horizontal="center" vertical="center"/>
    </x:xf>
    <x:xf numFmtId="201" fontId="5" fillId="6" borderId="5" xfId="0" applyNumberFormat="1" applyFont="1" applyFill="1" applyBorder="1" applyAlignment="1">
      <x:alignment horizontal="center" vertical="center"/>
    </x:xf>
    <x:xf numFmtId="201" fontId="5" fillId="6" borderId="6" xfId="0" applyNumberFormat="1" applyFont="1" applyFill="1" applyBorder="1" applyAlignment="1">
      <x:alignment horizontal="center" vertical="center"/>
    </x:xf>
    <x:xf numFmtId="201" fontId="5" fillId="6" borderId="7" xfId="0" applyNumberFormat="1" applyFont="1" applyFill="1" applyBorder="1" applyAlignment="1">
      <x:alignment horizontal="center" vertical="center"/>
    </x:xf>
    <x:xf numFmtId="201" fontId="5" fillId="5" borderId="4" xfId="0" applyNumberFormat="1" applyFont="1" applyFill="1" applyBorder="1"/>
    <x:xf numFmtId="201" fontId="5" fillId="5" borderId="5" xfId="0" applyNumberFormat="1" applyFont="1" applyFill="1" applyBorder="1"/>
    <x:xf numFmtId="201" fontId="5" fillId="5" borderId="6" xfId="0" applyNumberFormat="1" applyFont="1" applyFill="1" applyBorder="1"/>
    <x:xf numFmtId="201" fontId="5" fillId="5" borderId="7" xfId="0" applyNumberFormat="1" applyFont="1" applyFill="1" applyBorder="1"/>
    <x:xf numFmtId="201" fontId="5" fillId="5" borderId="4" xfId="0" applyNumberFormat="1" applyFont="1" applyFill="1" applyBorder="1" applyAlignment="1">
      <x:alignment horizontal="center"/>
    </x:xf>
    <x:xf numFmtId="201" fontId="5" fillId="5" borderId="5" xfId="0" applyNumberFormat="1" applyFont="1" applyFill="1" applyBorder="1" applyAlignment="1">
      <x:alignment horizontal="center"/>
    </x:xf>
    <x:xf numFmtId="201" fontId="5" fillId="5" borderId="6" xfId="0" applyNumberFormat="1" applyFont="1" applyFill="1" applyBorder="1" applyAlignment="1">
      <x:alignment horizontal="center"/>
    </x:xf>
    <x:xf numFmtId="201" fontId="5" fillId="5" borderId="7" xfId="0" applyNumberFormat="1" applyFont="1" applyFill="1" applyBorder="1" applyAlignment="1">
      <x:alignment horizontal="center"/>
    </x:xf>
    <x:xf numFmtId="201" fontId="5" fillId="5" borderId="4" xfId="0" applyNumberFormat="1" applyFont="1" applyFill="1" applyBorder="1" applyAlignment="1">
      <x:alignment horizontal="center" vertical="center"/>
    </x:xf>
    <x:xf numFmtId="201" fontId="5" fillId="5" borderId="5" xfId="0" applyNumberFormat="1" applyFont="1" applyFill="1" applyBorder="1" applyAlignment="1">
      <x:alignment horizontal="center" vertical="center"/>
    </x:xf>
    <x:xf numFmtId="201" fontId="5" fillId="5" borderId="6" xfId="0" applyNumberFormat="1" applyFont="1" applyFill="1" applyBorder="1" applyAlignment="1">
      <x:alignment horizontal="center" vertical="center"/>
    </x:xf>
    <x:xf numFmtId="201" fontId="5" fillId="5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20" xfId="0" applyNumberFormat="1" applyFont="1" applyFill="1" applyBorder="1"/>
    <x:xf numFmtId="0" fontId="6" fillId="3" borderId="21" xfId="0" applyNumberFormat="1" applyFont="1" applyFill="1" applyBorder="1"/>
    <x:xf numFmtId="0" fontId="6" fillId="3" borderId="22" xfId="0" applyNumberFormat="1" applyFont="1" applyFill="1" applyBorder="1"/>
    <x:xf numFmtId="0" fontId="6" fillId="3" borderId="20" xfId="0" applyNumberFormat="1" applyFont="1" applyFill="1" applyBorder="1" applyAlignment="1">
      <x:alignment wrapText="1"/>
    </x:xf>
    <x:xf numFmtId="0" fontId="6" fillId="3" borderId="21" xfId="0" applyNumberFormat="1" applyFont="1" applyFill="1" applyBorder="1" applyAlignment="1">
      <x:alignment wrapText="1"/>
    </x:xf>
    <x:xf numFmtId="0" fontId="6" fillId="3" borderId="22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2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200" fontId="12" fillId="5" borderId="4" xfId="0" applyNumberFormat="1" applyFont="1" applyFill="1" applyBorder="1" applyAlignment="1">
      <x:alignment horizontal="center" vertical="center"/>
    </x:xf>
    <x:xf numFmtId="200" fontId="12" fillId="5" borderId="5" xfId="0" applyNumberFormat="1" applyFont="1" applyFill="1" applyBorder="1" applyAlignment="1">
      <x:alignment horizontal="center" vertical="center"/>
    </x:xf>
    <x:xf numFmtId="201" fontId="12" fillId="6" borderId="4" xfId="0" applyNumberFormat="1" applyFont="1" applyFill="1" applyBorder="1" applyAlignment="1">
      <x:alignment horizontal="center" vertical="center"/>
    </x:xf>
    <x:xf numFmtId="201" fontId="12" fillId="6" borderId="5" xfId="0" applyNumberFormat="1" applyFont="1" applyFill="1" applyBorder="1" applyAlignment="1">
      <x:alignment horizontal="center" vertical="center"/>
    </x:xf>
    <x:xf numFmtId="201" fontId="12" fillId="5" borderId="4" xfId="0" applyNumberFormat="1" applyFont="1" applyFill="1" applyBorder="1" applyAlignment="1">
      <x:alignment horizontal="center" vertical="center"/>
    </x:xf>
    <x:xf numFmtId="201" fontId="12" fillId="5" borderId="5" xfId="0" applyNumberFormat="1" applyFont="1" applyFill="1" applyBorder="1" applyAlignment="1">
      <x:alignment horizontal="center" vertical="center"/>
    </x:xf>
    <x:xf numFmtId="200" fontId="12" fillId="5" borderId="6" xfId="0" applyNumberFormat="1" applyFont="1" applyFill="1" applyBorder="1" applyAlignment="1">
      <x:alignment horizontal="center" vertical="center"/>
    </x:xf>
    <x:xf numFmtId="200" fontId="12" fillId="5" borderId="7" xfId="0" applyNumberFormat="1" applyFont="1" applyFill="1" applyBorder="1" applyAlignment="1">
      <x:alignment horizontal="center" vertical="center"/>
    </x:xf>
    <x:xf numFmtId="201" fontId="12" fillId="6" borderId="6" xfId="0" applyNumberFormat="1" applyFont="1" applyFill="1" applyBorder="1" applyAlignment="1">
      <x:alignment horizontal="center" vertical="center"/>
    </x:xf>
    <x:xf numFmtId="201" fontId="12" fillId="6" borderId="7" xfId="0" applyNumberFormat="1" applyFont="1" applyFill="1" applyBorder="1" applyAlignment="1">
      <x:alignment horizontal="center" vertical="center"/>
    </x:xf>
    <x:xf numFmtId="201" fontId="12" fillId="5" borderId="6" xfId="0" applyNumberFormat="1" applyFont="1" applyFill="1" applyBorder="1" applyAlignment="1">
      <x:alignment horizontal="center" vertical="center"/>
    </x:xf>
    <x:xf numFmtId="201" fontId="12" fillId="5" borderId="7" xfId="0" applyNumberFormat="1" applyFont="1" applyFill="1" applyBorder="1" applyAlignment="1">
      <x:alignment horizontal="center" vertical="center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9" fillId="0" borderId="11" xfId="0" applyNumberFormat="1" applyFont="1" applyFill="1" applyBorder="1" applyAlignment="1">
      <x:alignment wrapText="1"/>
    </x:xf>
    <x:xf numFmtId="201" fontId="9" fillId="0" borderId="12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201" fontId="9" fillId="0" borderId="15" xfId="0" applyNumberFormat="1" applyFont="1" applyFill="1" applyBorder="1" applyAlignment="1">
      <x:alignment wrapText="1"/>
    </x:xf>
    <x:xf numFmtId="0" fontId="9" fillId="0" borderId="15" xfId="0" applyNumberFormat="1" applyFont="1" applyFill="1" applyBorder="1" applyAlignment="1">
      <x:alignment wrapText="1"/>
    </x:xf>
    <x:xf numFmtId="0" fontId="9" fillId="0" borderId="16" xfId="0" applyNumberFormat="1" applyFont="1" applyFill="1" applyBorder="1" applyAlignment="1">
      <x:alignment wrapText="1"/>
    </x:xf>
    <x:xf numFmtId="0" fontId="9" fillId="0" borderId="17" xfId="0" applyNumberFormat="1" applyFont="1" applyFill="1" applyBorder="1" applyAlignment="1">
      <x:alignment wrapText="1"/>
    </x:xf>
    <x:xf numFmtId="201" fontId="9" fillId="0" borderId="18" xfId="0" applyNumberFormat="1" applyFont="1" applyFill="1" applyBorder="1" applyAlignment="1">
      <x:alignment wrapText="1"/>
    </x:xf>
    <x:xf numFmtId="0" fontId="9" fillId="0" borderId="18" xfId="0" applyNumberFormat="1" applyFont="1" applyFill="1" applyBorder="1" applyAlignment="1">
      <x:alignment wrapText="1"/>
    </x:xf>
    <x:xf numFmtId="0" fontId="9" fillId="0" borderId="19" xfId="0" applyNumberFormat="1" applyFont="1" applyFill="1" applyBorder="1" applyAlignment="1">
      <x:alignment wrapText="1"/>
    </x:xf>
    <x:xf numFmtId="0" fontId="11" fillId="4" borderId="11" xfId="0" applyNumberFormat="1" applyFont="1" applyFill="1" applyBorder="1" applyAlignment="1">
      <x:alignment horizontal="center" vertical="center" wrapText="1"/>
    </x:xf>
    <x:xf numFmtId="0" fontId="9" fillId="0" borderId="12" xfId="0" applyNumberFormat="1" applyFont="1" applyFill="1" applyBorder="1" applyAlignment="1">
      <x:alignment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0" fontId="11" fillId="4" borderId="14" xfId="0" applyNumberFormat="1" applyFont="1" applyFill="1" applyBorder="1" applyAlignment="1">
      <x:alignment horizontal="center" vertical="center" wrapText="1"/>
    </x:xf>
    <x:xf numFmtId="0" fontId="9" fillId="0" borderId="15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11" fillId="4" borderId="17" xfId="0" applyNumberFormat="1" applyFont="1" applyFill="1" applyBorder="1" applyAlignment="1">
      <x:alignment horizontal="center" vertical="center" wrapText="1"/>
    </x:xf>
    <x:xf numFmtId="0" fontId="9" fillId="0" borderId="18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12" fillId="3" borderId="20" xfId="0" applyNumberFormat="1" applyFont="1" applyFill="1" applyBorder="1" applyAlignment="1">
      <x:alignment wrapText="1"/>
    </x:xf>
    <x:xf numFmtId="0" fontId="12" fillId="3" borderId="21" xfId="0" applyNumberFormat="1" applyFont="1" applyFill="1" applyBorder="1" applyAlignment="1">
      <x:alignment wrapText="1"/>
    </x:xf>
    <x:xf numFmtId="0" fontId="12" fillId="3" borderId="22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/>
    </x:xf>
    <x:xf numFmtId="201" fontId="9" fillId="0" borderId="0" xfId="0" applyNumberFormat="1" applyFont="1" applyFill="1" applyBorder="1" applyAlignment="1">
      <x:alignment vertical="top"/>
    </x:xf>
    <x:xf numFmtId="0" fontId="10" fillId="3" borderId="0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vertical="top" wrapText="1"/>
    </x:xf>
    <x:xf numFmtId="0" fontId="11" fillId="4" borderId="2" xfId="0" applyNumberFormat="1" applyFont="1" applyFill="1" applyBorder="1" applyAlignment="1">
      <x:alignment vertical="top" wrapText="1"/>
    </x:xf>
    <x:xf numFmtId="0" fontId="11" fillId="4" borderId="3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top"/>
    </x:xf>
    <x:xf numFmtId="200" fontId="12" fillId="5" borderId="4" xfId="0" applyNumberFormat="1" applyFont="1" applyFill="1" applyBorder="1" applyAlignment="1">
      <x:alignment horizontal="center" vertical="top"/>
    </x:xf>
    <x:xf numFmtId="200" fontId="12" fillId="5" borderId="5" xfId="0" applyNumberFormat="1" applyFont="1" applyFill="1" applyBorder="1" applyAlignment="1">
      <x:alignment horizontal="center" vertical="top"/>
    </x:xf>
    <x:xf numFmtId="201" fontId="12" fillId="6" borderId="4" xfId="0" applyNumberFormat="1" applyFont="1" applyFill="1" applyBorder="1" applyAlignment="1">
      <x:alignment horizontal="center" vertical="top"/>
    </x:xf>
    <x:xf numFmtId="201" fontId="12" fillId="6" borderId="5" xfId="0" applyNumberFormat="1" applyFont="1" applyFill="1" applyBorder="1" applyAlignment="1">
      <x:alignment horizontal="center" vertical="top"/>
    </x:xf>
    <x:xf numFmtId="201" fontId="12" fillId="5" borderId="4" xfId="0" applyNumberFormat="1" applyFont="1" applyFill="1" applyBorder="1" applyAlignment="1">
      <x:alignment horizontal="center" vertical="top"/>
    </x:xf>
    <x:xf numFmtId="201" fontId="12" fillId="5" borderId="5" xfId="0" applyNumberFormat="1" applyFont="1" applyFill="1" applyBorder="1" applyAlignment="1">
      <x:alignment horizontal="center" vertical="top"/>
    </x:xf>
    <x:xf numFmtId="200" fontId="12" fillId="5" borderId="6" xfId="0" applyNumberFormat="1" applyFont="1" applyFill="1" applyBorder="1" applyAlignment="1">
      <x:alignment horizontal="center" vertical="top"/>
    </x:xf>
    <x:xf numFmtId="200" fontId="12" fillId="5" borderId="7" xfId="0" applyNumberFormat="1" applyFont="1" applyFill="1" applyBorder="1" applyAlignment="1">
      <x:alignment horizontal="center" vertical="top"/>
    </x:xf>
    <x:xf numFmtId="201" fontId="12" fillId="6" borderId="6" xfId="0" applyNumberFormat="1" applyFont="1" applyFill="1" applyBorder="1" applyAlignment="1">
      <x:alignment horizontal="center" vertical="top"/>
    </x:xf>
    <x:xf numFmtId="201" fontId="12" fillId="6" borderId="7" xfId="0" applyNumberFormat="1" applyFont="1" applyFill="1" applyBorder="1" applyAlignment="1">
      <x:alignment horizontal="center" vertical="top"/>
    </x:xf>
    <x:xf numFmtId="201" fontId="12" fillId="5" borderId="6" xfId="0" applyNumberFormat="1" applyFont="1" applyFill="1" applyBorder="1" applyAlignment="1">
      <x:alignment horizontal="center" vertical="top"/>
    </x:xf>
    <x:xf numFmtId="201" fontId="12" fillId="5" borderId="7" xfId="0" applyNumberFormat="1" applyFont="1" applyFill="1" applyBorder="1" applyAlignment="1">
      <x:alignment horizontal="center" vertical="top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9" xfId="0" applyNumberFormat="1" applyFont="1" applyFill="1" applyBorder="1" applyAlignment="1">
      <x:alignment vertical="top" wrapText="1"/>
    </x:xf>
    <x:xf numFmtId="0" fontId="8" fillId="7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201" fontId="9" fillId="0" borderId="12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201" fontId="9" fillId="0" borderId="15" xfId="0" applyNumberFormat="1" applyFont="1" applyFill="1" applyBorder="1" applyAlignment="1">
      <x:alignment vertical="top" wrapText="1"/>
    </x:xf>
    <x:xf numFmtId="0" fontId="9" fillId="0" borderId="15" xfId="0" applyNumberFormat="1" applyFont="1" applyFill="1" applyBorder="1" applyAlignment="1">
      <x:alignment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201" fontId="9" fillId="0" borderId="18" xfId="0" applyNumberFormat="1" applyFont="1" applyFill="1" applyBorder="1" applyAlignment="1">
      <x:alignment vertical="top" wrapText="1"/>
    </x:xf>
    <x:xf numFmtId="0" fontId="9" fillId="0" borderId="18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11" fillId="4" borderId="11" xfId="0" applyNumberFormat="1" applyFont="1" applyFill="1" applyBorder="1" applyAlignment="1">
      <x:alignment horizontal="center" vertical="top" wrapText="1"/>
    </x:xf>
    <x:xf numFmtId="0" fontId="11" fillId="4" borderId="14" xfId="0" applyNumberFormat="1" applyFont="1" applyFill="1" applyBorder="1" applyAlignment="1">
      <x:alignment horizontal="center" vertical="top" wrapText="1"/>
    </x:xf>
    <x:xf numFmtId="0" fontId="11" fillId="4" borderId="17" xfId="0" applyNumberFormat="1" applyFont="1" applyFill="1" applyBorder="1" applyAlignment="1">
      <x:alignment horizontal="center" vertical="top" wrapText="1"/>
    </x:xf>
    <x:xf numFmtId="0" fontId="12" fillId="3" borderId="20" xfId="0" applyNumberFormat="1" applyFont="1" applyFill="1" applyBorder="1" applyAlignment="1">
      <x:alignment vertical="top" wrapText="1"/>
    </x:xf>
    <x:xf numFmtId="0" fontId="12" fillId="3" borderId="21" xfId="0" applyNumberFormat="1" applyFont="1" applyFill="1" applyBorder="1" applyAlignment="1">
      <x:alignment vertical="top" wrapText="1"/>
    </x:xf>
    <x:xf numFmtId="0" fontId="12" fillId="3" borderId="22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/>
    </x:xf>
    <x:xf numFmtId="20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vertical="top"/>
    </x:xf>
    <x:xf numFmtId="0" fontId="13" fillId="0" borderId="0" xfId="0" applyNumberFormat="1" applyFont="1" applyFill="1" applyBorder="1" applyAlignment="1">
      <x:alignment vertical="top"/>
    </x:xf>
    <x:xf numFmtId="0" fontId="13" fillId="0" borderId="0" xfId="0" applyNumberFormat="1" applyFont="1" applyFill="1" applyBorder="1"/>
    <x:xf numFmtId="201" fontId="13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4"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f8a457ab0410e" /><Relationship Type="http://schemas.openxmlformats.org/officeDocument/2006/relationships/theme" Target="/xl/theme/theme1.xml" Id="R636785e62a4a48ed" /><Relationship Type="http://schemas.openxmlformats.org/officeDocument/2006/relationships/sharedStrings" Target="/xl/sharedStrings.xml" Id="R06c10e3a35bc4e82" /><Relationship Type="http://schemas.openxmlformats.org/officeDocument/2006/relationships/worksheet" Target="/xl/worksheets/sheet1.xml" Id="R115636d1704842b6" /><Relationship Type="http://schemas.openxmlformats.org/officeDocument/2006/relationships/worksheet" Target="/xl/worksheets/sheet2.xml" Id="Ra23d485ac1d14f1c" /><Relationship Type="http://schemas.openxmlformats.org/officeDocument/2006/relationships/worksheet" Target="/xl/worksheets/sheet3.xml" Id="R19953273f023479b" /><Relationship Type="http://schemas.openxmlformats.org/officeDocument/2006/relationships/worksheet" Target="/xl/worksheets/sheet4.xml" Id="R3ee3145f40184977" /><Relationship Type="http://schemas.openxmlformats.org/officeDocument/2006/relationships/worksheet" Target="/xl/worksheets/sheet5.xml" Id="R995a0cb6cb8b4ca0" /><Relationship Type="http://schemas.microsoft.com/office/2017/10/relationships/person" Target="/xl/persons/person.xml" Id="R76b86fb4badc40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4c4cf6c2b847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da cobertura por arquivo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Arquivos</c:v>
          </c:tx>
          <c:cat>
            <c:strRef>
              <c:f>'Resumo'!$J$3:$J$5</c:f>
              <c:strCache>
                <c:ptCount val="0"/>
              </c:strCache>
            </c:strRef>
          </c:cat>
          <c:val>
            <c:numRef>
              <c:f>'Resumo'!$K$3:$K$5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4c4cf6c2b847b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iego Armond" id="{584AA223-517C-42F3-8C69-731AC73FB941}"/>
</xltc:personList>
</file>

<file path=xl/tables/table1.xml><?xml version="1.0" encoding="utf-8"?>
<x:table xmlns:x="http://schemas.openxmlformats.org/spreadsheetml/2006/main" id="1" name="MatrizCoberturaTable" displayName="MatrizCoberturaTable" ref="A6:M52" headerRowCount="1" totalsRowCount="0" totalsRowShown="0">
  <x:tableColumns count="13">
    <x:tableColumn id="1" name="ID"/>
    <x:tableColumn id="2" name="Arquivo"/>
    <x:tableColumn id="3" name="Camada"/>
    <x:tableColumn id="4" name="Criticidade"/>
    <x:tableColumn id="5" name="Teste direto?"/>
    <x:tableColumn id="6" name="Evidência localizada"/>
    <x:tableColumn id="7" name="Linhas"/>
    <x:tableColumn id="8" name="Cobertas"/>
    <x:tableColumn id="9" name="Cob. linhas"/>
    <x:tableColumn id="10" name="Cob. branches"/>
    <x:tableColumn id="11" name="Cob. funções"/>
    <x:tableColumn id="12" name="Situação"/>
    <x:tableColumn id="13" name="Observação / 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enariosExistentesTable" displayName="CenariosExistentesTable" ref="A6:F131" headerRowCount="1" totalsRowCount="0" totalsRowShown="0">
  <x:tableColumns count="6">
    <x:tableColumn id="1" name="ID"/>
    <x:tableColumn id="2" name="Tipo"/>
    <x:tableColumn id="3" name="Arquivo de teste"/>
    <x:tableColumn id="4" name="Cenário"/>
    <x:tableColumn id="5" name="Na suíte unitária?"/>
    <x:tableColumn id="6" name="Resultado nesta auditor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cunasTestesTable" displayName="LacunasTestesTable" ref="A6:L42" headerRowCount="1" totalsRowCount="0" totalsRowShown="0">
  <x:tableColumns count="12">
    <x:tableColumn id="1" name="ID"/>
    <x:tableColumn id="2" name="Prioridade"/>
    <x:tableColumn id="3" name="Camada"/>
    <x:tableColumn id="4" name="Módulo"/>
    <x:tableColumn id="5" name="Função / rota"/>
    <x:tableColumn id="6" name="Cenário"/>
    <x:tableColumn id="7" name="Pré-condições / mocks"/>
    <x:tableColumn id="8" name="Passos / entrada"/>
    <x:tableColumn id="9" name="Resultado esperado"/>
    <x:tableColumn id="10" name="Tipo sugerido"/>
    <x:tableColumn id="11" name="Arquivo sugerido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iteriosTable" displayName="CriteriosTable" ref="A6:F17" headerRowCount="1" totalsRowCount="0" totalsRowShown="0">
  <x:tableColumns count="6">
    <x:tableColumn id="1" name="Tema"/>
    <x:tableColumn id="2" name="Definição / evidência"/>
    <x:tableColumn id="3" name="Valor observado"/>
    <x:tableColumn id="4" name="Decisão"/>
    <x:tableColumn id="5" name="Fonte local"/>
    <x:tableColumn id="6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396bc5f2734f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4f7668ffcd4a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051d3d877146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c357938d3841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8350d5658c45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38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5" hidden="0" customHeight="1">
      <x:c r="A1" s="225" t="str">
        <x:v>Cenário de Testes Unitários — JobsIA</x:v>
      </x:c>
      <x:c r="B1" s="225" t="str">
        <x:v>Cenário de Testes Unitários — JobsIA</x:v>
      </x:c>
      <x:c r="C1" s="225" t="str">
        <x:v>Cenário de Testes Unitários — JobsIA</x:v>
      </x:c>
      <x:c r="D1" s="225" t="str">
        <x:v>Cenário de Testes Unitários — JobsIA</x:v>
      </x:c>
      <x:c r="E1" s="225" t="str">
        <x:v>Cenário de Testes Unitários — JobsIA</x:v>
      </x:c>
      <x:c r="F1" s="225" t="str">
        <x:v>Cenário de Testes Unitários — JobsIA</x:v>
      </x:c>
      <x:c r="G1" s="225" t="str">
        <x:v>Cenário de Testes Unitários — JobsIA</x:v>
      </x:c>
      <x:c r="H1" s="225" t="str">
        <x:v>Cenário de Testes Unitários — JobsIA</x:v>
      </x:c>
      <x:c r="I1" s="226"/>
      <x:c r="J1" s="226"/>
      <x:c r="K1" s="226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  <x:c r="W1" s="227"/>
      <x:c r="X1" s="227"/>
      <x:c r="Y1" s="227"/>
      <x:c r="Z1" s="227"/>
    </x:row>
    <x:row r="2" ht="15" hidden="0" customHeight="1">
      <x:c r="A2" s="225" t="str">
        <x:v>Cenário de Testes Unitários — JobsIA</x:v>
      </x:c>
      <x:c r="B2" s="225" t="str">
        <x:v>Cenário de Testes Unitários — JobsIA</x:v>
      </x:c>
      <x:c r="C2" s="225" t="str">
        <x:v>Cenário de Testes Unitários — JobsIA</x:v>
      </x:c>
      <x:c r="D2" s="225" t="str">
        <x:v>Cenário de Testes Unitários — JobsIA</x:v>
      </x:c>
      <x:c r="E2" s="225" t="str">
        <x:v>Cenário de Testes Unitários — JobsIA</x:v>
      </x:c>
      <x:c r="F2" s="225" t="str">
        <x:v>Cenário de Testes Unitários — JobsIA</x:v>
      </x:c>
      <x:c r="G2" s="225" t="str">
        <x:v>Cenário de Testes Unitários — JobsIA</x:v>
      </x:c>
      <x:c r="H2" s="225" t="str">
        <x:v>Cenário de Testes Unitários — JobsIA</x:v>
      </x:c>
      <x:c r="I2" s="226"/>
      <x:c r="J2" s="228" t="str">
        <x:v>Situação</x:v>
      </x:c>
      <x:c r="K2" s="228" t="str">
        <x:v>Arquivos</x:v>
      </x:c>
      <x:c r="L2" s="227"/>
      <x:c r="M2" s="227"/>
      <x:c r="N2" s="227"/>
      <x:c r="O2" s="227"/>
      <x:c r="P2" s="227"/>
      <x:c r="Q2" s="227"/>
      <x:c r="R2" s="227"/>
      <x:c r="S2" s="227"/>
      <x:c r="T2" s="227"/>
      <x:c r="U2" s="227"/>
      <x:c r="V2" s="227"/>
      <x:c r="W2" s="227"/>
      <x:c r="X2" s="227"/>
      <x:c r="Y2" s="227"/>
      <x:c r="Z2" s="227"/>
    </x:row>
    <x:row r="3" ht="15" hidden="0" customHeight="1">
      <x:c r="A3" s="181" t="str">
        <x:v>Auditoria baseada na suíte npm run test:coverage executada em 07/08/2026 e no inventário de código/testes do repositório.</x:v>
      </x:c>
      <x:c r="B3" s="181" t="str">
        <x:v>Auditoria baseada na suíte npm run test:coverage executada em 07/08/2026 e no inventário de código/testes do repositório.</x:v>
      </x:c>
      <x:c r="C3" s="181" t="str">
        <x:v>Auditoria baseada na suíte npm run test:coverage executada em 07/08/2026 e no inventário de código/testes do repositório.</x:v>
      </x:c>
      <x:c r="D3" s="181" t="str">
        <x:v>Auditoria baseada na suíte npm run test:coverage executada em 07/08/2026 e no inventário de código/testes do repositório.</x:v>
      </x:c>
      <x:c r="E3" s="181" t="str">
        <x:v>Auditoria baseada na suíte npm run test:coverage executada em 07/08/2026 e no inventário de código/testes do repositório.</x:v>
      </x:c>
      <x:c r="F3" s="181" t="str">
        <x:v>Auditoria baseada na suíte npm run test:coverage executada em 07/08/2026 e no inventário de código/testes do repositório.</x:v>
      </x:c>
      <x:c r="G3" s="181" t="str">
        <x:v>Auditoria baseada na suíte npm run test:coverage executada em 07/08/2026 e no inventário de código/testes do repositório.</x:v>
      </x:c>
      <x:c r="H3" s="181" t="str">
        <x:v>Auditoria baseada na suíte npm run test:coverage executada em 07/08/2026 e no inventário de código/testes do repositório.</x:v>
      </x:c>
      <x:c r="I3" s="179"/>
      <x:c r="J3" s="180" t="str">
        <x:v>Coberto</x:v>
      </x:c>
      <x:c r="K3" s="180" t="n">
        <x:f>COUNTIF('Matriz Cobertura'!$L$7:$L$52,J3)</x:f>
        <x:v>6</x:v>
      </x:c>
    </x:row>
    <x:row r="4" ht="15" hidden="0" customHeight="1">
      <x:c r="A4" s="179"/>
      <x:c r="B4" s="179"/>
      <x:c r="C4" s="179"/>
      <x:c r="D4" s="179"/>
      <x:c r="E4" s="179"/>
      <x:c r="F4" s="179"/>
      <x:c r="G4" s="179"/>
      <x:c r="H4" s="179"/>
      <x:c r="I4" s="179"/>
      <x:c r="J4" s="180" t="str">
        <x:v>Parcial</x:v>
      </x:c>
      <x:c r="K4" s="180" t="n">
        <x:f>COUNTIF('Matriz Cobertura'!$L$7:$L$52,J4)</x:f>
        <x:v>15</x:v>
      </x:c>
    </x:row>
    <x:row r="5" ht="15" hidden="0" customHeight="1">
      <x:c r="A5" s="182" t="str">
        <x:v>CONCLUSÃO: NÃO EXISTEM TESTES UNITÁRIOS PARA TODOS OS MÓDULOS RELEVANTES. A suíte atual passou, porém a cobertura de linhas é 20,14% e 25 de 46 arquivos têm 0%.</x:v>
      </x:c>
      <x:c r="B5" s="183" t="str">
        <x:v>CONCLUSÃO: NÃO EXISTEM TESTES UNITÁRIOS PARA TODOS OS MÓDULOS RELEVANTES. A suíte atual passou, porém a cobertura de linhas é 20,14% e 25 de 46 arquivos têm 0%.</x:v>
      </x:c>
      <x:c r="C5" s="183" t="str">
        <x:v>CONCLUSÃO: NÃO EXISTEM TESTES UNITÁRIOS PARA TODOS OS MÓDULOS RELEVANTES. A suíte atual passou, porém a cobertura de linhas é 20,14% e 25 de 46 arquivos têm 0%.</x:v>
      </x:c>
      <x:c r="D5" s="183" t="str">
        <x:v>CONCLUSÃO: NÃO EXISTEM TESTES UNITÁRIOS PARA TODOS OS MÓDULOS RELEVANTES. A suíte atual passou, porém a cobertura de linhas é 20,14% e 25 de 46 arquivos têm 0%.</x:v>
      </x:c>
      <x:c r="E5" s="183" t="str">
        <x:v>CONCLUSÃO: NÃO EXISTEM TESTES UNITÁRIOS PARA TODOS OS MÓDULOS RELEVANTES. A suíte atual passou, porém a cobertura de linhas é 20,14% e 25 de 46 arquivos têm 0%.</x:v>
      </x:c>
      <x:c r="F5" s="183" t="str">
        <x:v>CONCLUSÃO: NÃO EXISTEM TESTES UNITÁRIOS PARA TODOS OS MÓDULOS RELEVANTES. A suíte atual passou, porém a cobertura de linhas é 20,14% e 25 de 46 arquivos têm 0%.</x:v>
      </x:c>
      <x:c r="G5" s="183" t="str">
        <x:v>CONCLUSÃO: NÃO EXISTEM TESTES UNITÁRIOS PARA TODOS OS MÓDULOS RELEVANTES. A suíte atual passou, porém a cobertura de linhas é 20,14% e 25 de 46 arquivos têm 0%.</x:v>
      </x:c>
      <x:c r="H5" s="184" t="str">
        <x:v>CONCLUSÃO: NÃO EXISTEM TESTES UNITÁRIOS PARA TODOS OS MÓDULOS RELEVANTES. A suíte atual passou, porém a cobertura de linhas é 20,14% e 25 de 46 arquivos têm 0%.</x:v>
      </x:c>
      <x:c r="I5" s="179"/>
      <x:c r="J5" s="180" t="str">
        <x:v>Sem cobertura</x:v>
      </x:c>
      <x:c r="K5" s="180" t="n">
        <x:f>COUNTIF('Matriz Cobertura'!$L$7:$L$52,J5)</x:f>
        <x:v>23</x:v>
      </x:c>
    </x:row>
    <x:row r="6" ht="15" hidden="0" customHeight="1">
      <x:c r="A6" s="179"/>
      <x:c r="B6" s="179"/>
      <x:c r="C6" s="179"/>
      <x:c r="D6" s="179"/>
      <x:c r="E6" s="179"/>
      <x:c r="F6" s="179"/>
      <x:c r="G6" s="179"/>
      <x:c r="H6" s="179"/>
      <x:c r="I6" s="179"/>
      <x:c r="J6" s="179"/>
      <x:c r="K6" s="179"/>
    </x:row>
    <x:row r="7" ht="15" hidden="0" customHeight="1">
      <x:c r="A7" s="185" t="str">
        <x:v>Cobertura de linhas</x:v>
      </x:c>
      <x:c r="B7" s="185" t="str">
        <x:v>Cobertura de linhas</x:v>
      </x:c>
      <x:c r="C7" s="185" t="str">
        <x:v>Testes da suíte</x:v>
      </x:c>
      <x:c r="D7" s="185" t="str">
        <x:v>Testes da suíte</x:v>
      </x:c>
      <x:c r="E7" s="185" t="str">
        <x:v>Aprovados</x:v>
      </x:c>
      <x:c r="F7" s="185" t="str">
        <x:v>Aprovados</x:v>
      </x:c>
      <x:c r="G7" s="185" t="str">
        <x:v>Ignorados</x:v>
      </x:c>
      <x:c r="H7" s="185" t="str">
        <x:v>Ignorados</x:v>
      </x:c>
      <x:c r="I7" s="179"/>
      <x:c r="J7" s="179"/>
      <x:c r="K7" s="179"/>
    </x:row>
    <x:row r="8" ht="15" hidden="0" customHeight="1">
      <x:c r="A8" s="186" t="n">
        <x:v>0.2014</x:v>
      </x:c>
      <x:c r="B8" s="187" t="n">
        <x:v>0.2014</x:v>
      </x:c>
      <x:c r="C8" s="188" t="n">
        <x:v>47</x:v>
      </x:c>
      <x:c r="D8" s="189" t="n">
        <x:v>47</x:v>
      </x:c>
      <x:c r="E8" s="188" t="n">
        <x:v>45</x:v>
      </x:c>
      <x:c r="F8" s="189" t="n">
        <x:v>45</x:v>
      </x:c>
      <x:c r="G8" s="190" t="n">
        <x:v>2</x:v>
      </x:c>
      <x:c r="H8" s="191" t="n">
        <x:v>2</x:v>
      </x:c>
      <x:c r="I8" s="179"/>
      <x:c r="J8" s="179"/>
      <x:c r="K8" s="179"/>
    </x:row>
    <x:row r="9" ht="15" hidden="0" customHeight="1">
      <x:c r="A9" s="192" t="n">
        <x:v>0.2014</x:v>
      </x:c>
      <x:c r="B9" s="193" t="n">
        <x:v>0.2014</x:v>
      </x:c>
      <x:c r="C9" s="194" t="n">
        <x:v>47</x:v>
      </x:c>
      <x:c r="D9" s="195" t="n">
        <x:v>47</x:v>
      </x:c>
      <x:c r="E9" s="194" t="n">
        <x:v>45</x:v>
      </x:c>
      <x:c r="F9" s="195" t="n">
        <x:v>45</x:v>
      </x:c>
      <x:c r="G9" s="196" t="n">
        <x:v>2</x:v>
      </x:c>
      <x:c r="H9" s="197" t="n">
        <x:v>2</x:v>
      </x:c>
      <x:c r="I9" s="179"/>
      <x:c r="J9" s="179"/>
      <x:c r="K9" s="179"/>
    </x:row>
    <x:row r="10" ht="15" hidden="0" customHeight="1">
      <x:c r="A10" s="179"/>
      <x:c r="B10" s="179"/>
      <x:c r="C10" s="179"/>
      <x:c r="D10" s="179"/>
      <x:c r="E10" s="179"/>
      <x:c r="F10" s="179"/>
      <x:c r="G10" s="179"/>
      <x:c r="H10" s="179"/>
      <x:c r="I10" s="179"/>
      <x:c r="J10" s="179"/>
      <x:c r="K10" s="179"/>
    </x:row>
    <x:row r="11" ht="15" hidden="0" customHeight="1">
      <x:c r="A11" s="198" t="str">
        <x:v>Indicadores de completude por arquivo</x:v>
      </x:c>
      <x:c r="B11" s="199" t="str">
        <x:v>Indicadores de completude por arquivo</x:v>
      </x:c>
      <x:c r="C11" s="199" t="str">
        <x:v>Indicadores de completude por arquivo</x:v>
      </x:c>
      <x:c r="D11" s="199" t="str">
        <x:v>Indicadores de completude por arquivo</x:v>
      </x:c>
      <x:c r="E11" s="199" t="str">
        <x:v>Indicadores de completude por arquivo</x:v>
      </x:c>
      <x:c r="F11" s="199" t="str">
        <x:v>Indicadores de completude por arquivo</x:v>
      </x:c>
      <x:c r="G11" s="199" t="str">
        <x:v>Indicadores de completude por arquivo</x:v>
      </x:c>
      <x:c r="H11" s="200" t="str">
        <x:v>Indicadores de completude por arquivo</x:v>
      </x:c>
      <x:c r="I11" s="179"/>
      <x:c r="J11" s="179"/>
      <x:c r="K11" s="179"/>
    </x:row>
    <x:row r="12" ht="15" hidden="0" customHeight="1">
      <x:c r="A12" s="198" t="str">
        <x:v>Indicador</x:v>
      </x:c>
      <x:c r="B12" s="199" t="str">
        <x:v>Valor</x:v>
      </x:c>
      <x:c r="C12" s="199" t="str">
        <x:v>Interpretação</x:v>
      </x:c>
      <x:c r="D12" s="200" t="str">
        <x:v>Critério</x:v>
      </x:c>
      <x:c r="E12" s="179"/>
      <x:c r="F12" s="179"/>
      <x:c r="G12" s="179"/>
      <x:c r="H12" s="179"/>
      <x:c r="I12" s="179"/>
      <x:c r="J12" s="179"/>
      <x:c r="K12" s="179"/>
    </x:row>
    <x:row r="13" ht="15" hidden="0" customHeight="1">
      <x:c r="A13" s="201" t="str">
        <x:v>Arquivos inventariados</x:v>
      </x:c>
      <x:c r="B13" s="202" t="n">
        <x:f>COUNTA('Matriz Cobertura'!$B$7:$B$52)</x:f>
        <x:v>46</x:v>
      </x:c>
      <x:c r="C13" s="203" t="str">
        <x:v>Todo arquivo incluído por c8 --all</x:v>
      </x:c>
      <x:c r="D13" s="204" t="str">
        <x:v>coverage-summary.json</x:v>
      </x:c>
      <x:c r="E13" s="179"/>
      <x:c r="F13" s="179"/>
      <x:c r="G13" s="179"/>
      <x:c r="H13" s="179"/>
      <x:c r="I13" s="179"/>
      <x:c r="J13" s="179"/>
      <x:c r="K13" s="179"/>
    </x:row>
    <x:row r="14" ht="24" hidden="0" customHeight="1">
      <x:c r="A14" s="205" t="str">
        <x:v>Cobertos (&gt;=80% linhas)</x:v>
      </x:c>
      <x:c r="B14" s="206" t="n">
        <x:f>COUNTIF('Matriz Cobertura'!$L$7:$L$52,"Coberto")</x:f>
        <x:v>6</x:v>
      </x:c>
      <x:c r="C14" s="207" t="str">
        <x:v>Boa cobertura de linhas; branches ainda exigem revisão</x:v>
      </x:c>
      <x:c r="D14" s="208" t="str">
        <x:v>&gt;=80%</x:v>
      </x:c>
      <x:c r="E14" s="179"/>
      <x:c r="F14" s="179"/>
      <x:c r="G14" s="179"/>
      <x:c r="H14" s="179"/>
      <x:c r="I14" s="179"/>
      <x:c r="J14" s="179"/>
      <x:c r="K14" s="179"/>
    </x:row>
    <x:row r="15" ht="15" hidden="0" customHeight="1">
      <x:c r="A15" s="205" t="str">
        <x:v>Parciais (&gt;0% e &lt;80%)</x:v>
      </x:c>
      <x:c r="B15" s="206" t="n">
        <x:f>COUNTIF('Matriz Cobertura'!$L$7:$L$52,"Parcial")</x:f>
        <x:v>15</x:v>
      </x:c>
      <x:c r="C15" s="207" t="str">
        <x:v>Há execução, mas faltam caminhos relevantes</x:v>
      </x:c>
      <x:c r="D15" s="208" t="str">
        <x:v>0% &lt; cobertura &lt; 80%</x:v>
      </x:c>
      <x:c r="E15" s="179"/>
      <x:c r="F15" s="179"/>
      <x:c r="G15" s="179"/>
      <x:c r="H15" s="179"/>
      <x:c r="I15" s="179"/>
      <x:c r="J15" s="179"/>
      <x:c r="K15" s="179"/>
    </x:row>
    <x:row r="16" ht="15" hidden="0" customHeight="1">
      <x:c r="A16" s="209" t="str">
        <x:v>Sem cobertura</x:v>
      </x:c>
      <x:c r="B16" s="210" t="n">
        <x:f>COUNTIF('Matriz Cobertura'!$L$7:$L$52,"Sem cobertura")</x:f>
        <x:v>23</x:v>
      </x:c>
      <x:c r="C16" s="211" t="str">
        <x:v>Nenhuma linha executada pela suíte unitária</x:v>
      </x:c>
      <x:c r="D16" s="212" t="str">
        <x:v>0%</x:v>
      </x:c>
      <x:c r="E16" s="179"/>
      <x:c r="F16" s="179"/>
      <x:c r="G16" s="179"/>
      <x:c r="H16" s="179"/>
      <x:c r="I16" s="179"/>
      <x:c r="J16" s="179"/>
      <x:c r="K16" s="179"/>
    </x:row>
    <x:row r="17" ht="15" hidden="0" customHeight="1">
      <x:c r="A17" s="179"/>
      <x:c r="B17" s="179"/>
      <x:c r="C17" s="179"/>
      <x:c r="D17" s="179"/>
      <x:c r="E17" s="179"/>
      <x:c r="F17" s="179"/>
      <x:c r="G17" s="179"/>
      <x:c r="H17" s="179"/>
      <x:c r="I17" s="179"/>
      <x:c r="J17" s="179"/>
      <x:c r="K17" s="179"/>
    </x:row>
    <x:row r="18" ht="15" hidden="0" customHeight="1">
      <x:c r="A18" s="198" t="str">
        <x:v>Principais riscos identificados</x:v>
      </x:c>
      <x:c r="B18" s="199" t="str">
        <x:v>Principais riscos identificados</x:v>
      </x:c>
      <x:c r="C18" s="199" t="str">
        <x:v>Principais riscos identificados</x:v>
      </x:c>
      <x:c r="D18" s="199" t="str">
        <x:v>Principais riscos identificados</x:v>
      </x:c>
      <x:c r="E18" s="199" t="str">
        <x:v>Principais riscos identificados</x:v>
      </x:c>
      <x:c r="F18" s="199" t="str">
        <x:v>Principais riscos identificados</x:v>
      </x:c>
      <x:c r="G18" s="199" t="str">
        <x:v>Principais riscos identificados</x:v>
      </x:c>
      <x:c r="H18" s="200" t="str">
        <x:v>Principais riscos identificados</x:v>
      </x:c>
      <x:c r="I18" s="179"/>
      <x:c r="J18" s="179"/>
      <x:c r="K18" s="179"/>
    </x:row>
    <x:row r="19" ht="15" hidden="0" customHeight="1">
      <x:c r="A19" s="213" t="str">
        <x:v>1</x:v>
      </x:c>
      <x:c r="B19" s="203" t="str">
        <x:v>Backend crítico</x:v>
      </x:c>
      <x:c r="C19" s="203" t="str">
        <x:v>checklists.ts tem 3,88% de linhas; fluxos de propriedade, persistência e PDF carecem de testes unitários efetivos.</x:v>
      </x:c>
      <x:c r="D19" s="203"/>
      <x:c r="E19" s="203"/>
      <x:c r="F19" s="203"/>
      <x:c r="G19" s="203"/>
      <x:c r="H19" s="204"/>
      <x:c r="I19" s="179"/>
      <x:c r="J19" s="179"/>
      <x:c r="K19" s="179"/>
    </x:row>
    <x:row r="20" ht="24" hidden="0" customHeight="1">
      <x:c r="A20" s="214" t="str">
        <x:v>2</x:v>
      </x:c>
      <x:c r="B20" s="207" t="str">
        <x:v>Motor de validação</x:v>
      </x:c>
      <x:c r="C20" s="207" t="str">
        <x:v>validationEngine.ts tem 16,73% de linhas e somente 30% de branches.</x:v>
      </x:c>
      <x:c r="D20" s="207"/>
      <x:c r="E20" s="207"/>
      <x:c r="F20" s="207"/>
      <x:c r="G20" s="207"/>
      <x:c r="H20" s="208"/>
      <x:c r="I20" s="179"/>
      <x:c r="J20" s="179"/>
      <x:c r="K20" s="179"/>
    </x:row>
    <x:row r="21" ht="15" hidden="0" customHeight="1">
      <x:c r="A21" s="214" t="str">
        <x:v>3</x:v>
      </x:c>
      <x:c r="B21" s="207" t="str">
        <x:v>Autenticação/IA</x:v>
      </x:c>
      <x:c r="C21" s="207" t="str">
        <x:v>auth.ts (rotas) tem 12,07% e ai.ts 21,71%; grande parte é apenas carregada indiretamente.</x:v>
      </x:c>
      <x:c r="D21" s="207"/>
      <x:c r="E21" s="207"/>
      <x:c r="F21" s="207"/>
      <x:c r="G21" s="207"/>
      <x:c r="H21" s="208"/>
      <x:c r="I21" s="179"/>
      <x:c r="J21" s="179"/>
      <x:c r="K21" s="179"/>
    </x:row>
    <x:row r="22" ht="15" hidden="0" customHeight="1">
      <x:c r="A22" s="214" t="str">
        <x:v>4</x:v>
      </x:c>
      <x:c r="B22" s="207" t="str">
        <x:v>Frontend</x:v>
      </x:c>
      <x:c r="C22" s="207" t="str">
        <x:v>A maioria de páginas, componentes, contexto e serviços está em 0%; não há infraestrutura declarada para testes React.</x:v>
      </x:c>
      <x:c r="D22" s="207"/>
      <x:c r="E22" s="207"/>
      <x:c r="F22" s="207"/>
      <x:c r="G22" s="207"/>
      <x:c r="H22" s="208"/>
      <x:c r="I22" s="179"/>
      <x:c r="J22" s="179"/>
      <x:c r="K22" s="179"/>
    </x:row>
    <x:row r="23" ht="15" hidden="0" customHeight="1">
      <x:c r="A23" s="215" t="str">
        <x:v>5</x:v>
      </x:c>
      <x:c r="B23" s="211" t="str">
        <x:v>Falso conforto</x:v>
      </x:c>
      <x:c r="C23" s="211" t="str">
        <x:v>O gate atual aceita 19% de linhas e não mede cobertura completa de integrações; aprovação da suíte não significa completude.</x:v>
      </x:c>
      <x:c r="D23" s="211"/>
      <x:c r="E23" s="211"/>
      <x:c r="F23" s="211"/>
      <x:c r="G23" s="211"/>
      <x:c r="H23" s="212"/>
      <x:c r="I23" s="179"/>
      <x:c r="J23" s="179"/>
      <x:c r="K23" s="179"/>
    </x:row>
    <x:row r="24" ht="15" hidden="0" customHeight="1">
      <x:c r="A24" s="179"/>
      <x:c r="B24" s="179"/>
      <x:c r="C24" s="179"/>
      <x:c r="D24" s="179"/>
      <x:c r="E24" s="179"/>
      <x:c r="F24" s="179"/>
      <x:c r="G24" s="179"/>
      <x:c r="H24" s="179"/>
      <x:c r="I24" s="179"/>
      <x:c r="J24" s="179"/>
      <x:c r="K24" s="179"/>
    </x:row>
    <x:row r="25" ht="15" hidden="0" customHeight="1">
      <x:c r="A25" s="216" t="str">
        <x:v>Recomendação: implementar primeiro as lacunas P0, elevar o gate gradualmente e separar cobertura unitária de integração. Os cenários propostos estão na aba “Lacunas Priorizadas”.</x:v>
      </x:c>
      <x:c r="B25" s="217" t="str">
        <x:v>Recomendação: implementar primeiro as lacunas P0, elevar o gate gradualmente e separar cobertura unitária de integração. Os cenários propostos estão na aba “Lacunas Priorizadas”.</x:v>
      </x:c>
      <x:c r="C25" s="217" t="str">
        <x:v>Recomendação: implementar primeiro as lacunas P0, elevar o gate gradualmente e separar cobertura unitária de integração. Os cenários propostos estão na aba “Lacunas Priorizadas”.</x:v>
      </x:c>
      <x:c r="D25" s="217" t="str">
        <x:v>Recomendação: implementar primeiro as lacunas P0, elevar o gate gradualmente e separar cobertura unitária de integração. Os cenários propostos estão na aba “Lacunas Priorizadas”.</x:v>
      </x:c>
      <x:c r="E25" s="217" t="str">
        <x:v>Recomendação: implementar primeiro as lacunas P0, elevar o gate gradualmente e separar cobertura unitária de integração. Os cenários propostos estão na aba “Lacunas Priorizadas”.</x:v>
      </x:c>
      <x:c r="F25" s="217" t="str">
        <x:v>Recomendação: implementar primeiro as lacunas P0, elevar o gate gradualmente e separar cobertura unitária de integração. Os cenários propostos estão na aba “Lacunas Priorizadas”.</x:v>
      </x:c>
      <x:c r="G25" s="217" t="str">
        <x:v>Recomendação: implementar primeiro as lacunas P0, elevar o gate gradualmente e separar cobertura unitária de integração. Os cenários propostos estão na aba “Lacunas Priorizadas”.</x:v>
      </x:c>
      <x:c r="H25" s="218" t="str">
        <x:v>Recomendação: implementar primeiro as lacunas P0, elevar o gate gradualmente e separar cobertura unitária de integração. Os cenários propostos estão na aba “Lacunas Priorizadas”.</x:v>
      </x:c>
      <x:c r="I25" s="179"/>
      <x:c r="J25" s="179"/>
      <x:c r="K25" s="179"/>
    </x:row>
  </x:sheetData>
  <x:mergeCells>
    <x:mergeCell ref="A1:H2"/>
    <x:mergeCell ref="A3:H3"/>
    <x:mergeCell ref="A5:H5"/>
    <x:mergeCell ref="A7:B7"/>
    <x:mergeCell ref="A8:B9"/>
    <x:mergeCell ref="C7:D7"/>
    <x:mergeCell ref="C8:D9"/>
    <x:mergeCell ref="E7:F7"/>
    <x:mergeCell ref="E8:F9"/>
    <x:mergeCell ref="G7:H7"/>
    <x:mergeCell ref="G8:H9"/>
    <x:mergeCell ref="A11:H11"/>
    <x:mergeCell ref="A18:H18"/>
    <x:mergeCell ref="C19:H19"/>
    <x:mergeCell ref="C20:H20"/>
    <x:mergeCell ref="C21:H21"/>
    <x:mergeCell ref="C22:H22"/>
    <x:mergeCell ref="C23:H23"/>
    <x:mergeCell ref="A25:H25"/>
  </x:mergeCells>
  <x:pageMargins left="0.7" right="0.7" top="0.75" bottom="0.75" header="0.3" footer="0.3"/>
  <x:drawing xmlns:r="http://schemas.openxmlformats.org/officeDocument/2006/relationships" r:id="R57396bc5f2734f3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8" hidden="0" customWidth="1"/>
    <x:col min="3" max="3" width="23" hidden="0" customWidth="1"/>
    <x:col min="4" max="4" width="11" hidden="0" customWidth="1"/>
    <x:col min="5" max="5" width="12" hidden="0" customWidth="1"/>
    <x:col min="6" max="6" width="42" hidden="0" customWidth="1"/>
    <x:col min="7" max="7" width="9" hidden="0" customWidth="1"/>
    <x:col min="8" max="8" width="9" hidden="0" customWidth="1"/>
    <x:col min="9" max="9" width="12" hidden="0" customWidth="1"/>
    <x:col min="10" max="10" width="13" hidden="0" customWidth="1"/>
    <x:col min="11" max="11" width="12" hidden="0" customWidth="1"/>
    <x:col min="12" max="12" width="16" hidden="0" customWidth="1"/>
    <x:col min="13" max="13" width="43" hidden="0" customWidth="1"/>
  </x:cols>
  <x:sheetData>
    <x:row r="1" ht="30" customHeight="1">
      <x:c r="A1" s="225" t="str">
        <x:v>Matriz de Cobertura por Arquivo</x:v>
      </x:c>
      <x:c r="B1" s="225" t="str">
        <x:v>Matriz de Cobertura por Arquivo</x:v>
      </x:c>
      <x:c r="C1" s="225" t="str">
        <x:v>Matriz de Cobertura por Arquivo</x:v>
      </x:c>
      <x:c r="D1" s="225" t="str">
        <x:v>Matriz de Cobertura por Arquivo</x:v>
      </x:c>
      <x:c r="E1" s="225" t="str">
        <x:v>Matriz de Cobertura por Arquivo</x:v>
      </x:c>
      <x:c r="F1" s="225" t="str">
        <x:v>Matriz de Cobertura por Arquivo</x:v>
      </x:c>
      <x:c r="G1" s="225" t="str">
        <x:v>Matriz de Cobertura por Arquivo</x:v>
      </x:c>
      <x:c r="H1" s="225" t="str">
        <x:v>Matriz de Cobertura por Arquivo</x:v>
      </x:c>
      <x:c r="I1" s="225" t="str">
        <x:v>Matriz de Cobertura por Arquivo</x:v>
      </x:c>
      <x:c r="J1" s="225" t="str">
        <x:v>Matriz de Cobertura por Arquivo</x:v>
      </x:c>
      <x:c r="K1" s="225" t="str">
        <x:v>Matriz de Cobertura por Arquivo</x:v>
      </x:c>
      <x:c r="L1" s="225" t="str">
        <x:v>Matriz de Cobertura por Arquivo</x:v>
      </x:c>
      <x:c r="M1" s="225" t="str">
        <x:v>Matriz de Cobertura por Arquivo</x:v>
      </x:c>
      <x:c r="N1" s="227"/>
      <x:c r="O1" s="227"/>
      <x:c r="P1" s="227"/>
      <x:c r="Q1" s="227"/>
      <x:c r="R1" s="227"/>
      <x:c r="S1" s="227"/>
      <x:c r="T1" s="227"/>
      <x:c r="U1" s="227"/>
      <x:c r="V1" s="227"/>
      <x:c r="W1" s="227"/>
      <x:c r="X1" s="227"/>
      <x:c r="Y1" s="227"/>
      <x:c r="Z1" s="227"/>
    </x:row>
    <x:row r="2" ht="30" customHeight="1">
      <x:c r="A2" s="225" t="str">
        <x:v>Matriz de Cobertura por Arquivo</x:v>
      </x:c>
      <x:c r="B2" s="225" t="str">
        <x:v>Matriz de Cobertura por Arquivo</x:v>
      </x:c>
      <x:c r="C2" s="225" t="str">
        <x:v>Matriz de Cobertura por Arquivo</x:v>
      </x:c>
      <x:c r="D2" s="225" t="str">
        <x:v>Matriz de Cobertura por Arquivo</x:v>
      </x:c>
      <x:c r="E2" s="225" t="str">
        <x:v>Matriz de Cobertura por Arquivo</x:v>
      </x:c>
      <x:c r="F2" s="225" t="str">
        <x:v>Matriz de Cobertura por Arquivo</x:v>
      </x:c>
      <x:c r="G2" s="225" t="str">
        <x:v>Matriz de Cobertura por Arquivo</x:v>
      </x:c>
      <x:c r="H2" s="225" t="str">
        <x:v>Matriz de Cobertura por Arquivo</x:v>
      </x:c>
      <x:c r="I2" s="225" t="str">
        <x:v>Matriz de Cobertura por Arquivo</x:v>
      </x:c>
      <x:c r="J2" s="225" t="str">
        <x:v>Matriz de Cobertura por Arquivo</x:v>
      </x:c>
      <x:c r="K2" s="225" t="str">
        <x:v>Matriz de Cobertura por Arquivo</x:v>
      </x:c>
      <x:c r="L2" s="225" t="str">
        <x:v>Matriz de Cobertura por Arquivo</x:v>
      </x:c>
      <x:c r="M2" s="225" t="str">
        <x:v>Matriz de Cobertura por Arquivo</x:v>
      </x:c>
      <x:c r="N2" s="227"/>
      <x:c r="O2" s="227"/>
      <x:c r="P2" s="227"/>
      <x:c r="Q2" s="227"/>
      <x:c r="R2" s="227"/>
      <x:c r="S2" s="227"/>
      <x:c r="T2" s="227"/>
      <x:c r="U2" s="227"/>
      <x:c r="V2" s="227"/>
      <x:c r="W2" s="227"/>
      <x:c r="X2" s="227"/>
      <x:c r="Y2" s="227"/>
      <x:c r="Z2" s="227"/>
    </x:row>
    <x:row r="3" ht="15" hidden="0" customHeight="1">
      <x:c r="A3" s="181" t="str">
        <x:v>Cobertura de linha não prova qualidade isoladamente; a coluna de evidência distingue teste direto de mero carregamento indireto.</x:v>
      </x:c>
      <x:c r="B3" s="181" t="str">
        <x:v>Cobertura de linha não prova qualidade isoladamente; a coluna de evidência distingue teste direto de mero carregamento indireto.</x:v>
      </x:c>
      <x:c r="C3" s="181" t="str">
        <x:v>Cobertura de linha não prova qualidade isoladamente; a coluna de evidência distingue teste direto de mero carregamento indireto.</x:v>
      </x:c>
      <x:c r="D3" s="181" t="str">
        <x:v>Cobertura de linha não prova qualidade isoladamente; a coluna de evidência distingue teste direto de mero carregamento indireto.</x:v>
      </x:c>
      <x:c r="E3" s="181" t="str">
        <x:v>Cobertura de linha não prova qualidade isoladamente; a coluna de evidência distingue teste direto de mero carregamento indireto.</x:v>
      </x:c>
      <x:c r="F3" s="181" t="str">
        <x:v>Cobertura de linha não prova qualidade isoladamente; a coluna de evidência distingue teste direto de mero carregamento indireto.</x:v>
      </x:c>
      <x:c r="G3" s="181" t="str">
        <x:v>Cobertura de linha não prova qualidade isoladamente; a coluna de evidência distingue teste direto de mero carregamento indireto.</x:v>
      </x:c>
      <x:c r="H3" s="181" t="str">
        <x:v>Cobertura de linha não prova qualidade isoladamente; a coluna de evidência distingue teste direto de mero carregamento indireto.</x:v>
      </x:c>
      <x:c r="I3" s="181" t="str">
        <x:v>Cobertura de linha não prova qualidade isoladamente; a coluna de evidência distingue teste direto de mero carregamento indireto.</x:v>
      </x:c>
      <x:c r="J3" s="181" t="str">
        <x:v>Cobertura de linha não prova qualidade isoladamente; a coluna de evidência distingue teste direto de mero carregamento indireto.</x:v>
      </x:c>
      <x:c r="K3" s="181" t="str">
        <x:v>Cobertura de linha não prova qualidade isoladamente; a coluna de evidência distingue teste direto de mero carregamento indireto.</x:v>
      </x:c>
      <x:c r="L3" s="181" t="str">
        <x:v>Cobertura de linha não prova qualidade isoladamente; a coluna de evidência distingue teste direto de mero carregamento indireto.</x:v>
      </x:c>
      <x:c r="M3" s="181" t="str">
        <x:v>Cobertura de linha não prova qualidade isoladamente; a coluna de evidência distingue teste direto de mero carregamento indireto.</x:v>
      </x:c>
    </x:row>
    <x:row r="4" ht="15" hidden="0" customHeight="1">
      <x:c r="A4" s="179"/>
      <x:c r="B4" s="179"/>
      <x:c r="C4" s="179"/>
      <x:c r="D4" s="179"/>
      <x:c r="E4" s="179"/>
      <x:c r="F4" s="179"/>
      <x:c r="G4" s="179"/>
      <x:c r="H4" s="179"/>
      <x:c r="I4" s="179"/>
      <x:c r="J4" s="179"/>
      <x:c r="K4" s="179"/>
      <x:c r="L4" s="179"/>
      <x:c r="M4" s="179"/>
    </x:row>
    <x:row r="5" ht="15" hidden="0" customHeight="1">
      <x:c r="A5" s="179"/>
      <x:c r="B5" s="179"/>
      <x:c r="C5" s="179"/>
      <x:c r="D5" s="179"/>
      <x:c r="E5" s="179"/>
      <x:c r="F5" s="179"/>
      <x:c r="G5" s="179"/>
      <x:c r="H5" s="179"/>
      <x:c r="I5" s="179"/>
      <x:c r="J5" s="179"/>
      <x:c r="K5" s="179"/>
      <x:c r="L5" s="179"/>
      <x:c r="M5" s="179"/>
    </x:row>
    <x:row r="6" ht="15" hidden="0" customHeight="1">
      <x:c r="A6" s="198" t="str">
        <x:v>ID</x:v>
      </x:c>
      <x:c r="B6" s="199" t="str">
        <x:v>Arquivo</x:v>
      </x:c>
      <x:c r="C6" s="199" t="str">
        <x:v>Camada</x:v>
      </x:c>
      <x:c r="D6" s="199" t="str">
        <x:v>Criticidade</x:v>
      </x:c>
      <x:c r="E6" s="199" t="str">
        <x:v>Teste direto?</x:v>
      </x:c>
      <x:c r="F6" s="199" t="str">
        <x:v>Evidência localizada</x:v>
      </x:c>
      <x:c r="G6" s="199" t="str">
        <x:v>Linhas</x:v>
      </x:c>
      <x:c r="H6" s="199" t="str">
        <x:v>Cobertas</x:v>
      </x:c>
      <x:c r="I6" s="199" t="str">
        <x:v>Cob. linhas</x:v>
      </x:c>
      <x:c r="J6" s="199" t="str">
        <x:v>Cob. branches</x:v>
      </x:c>
      <x:c r="K6" s="199" t="str">
        <x:v>Cob. funções</x:v>
      </x:c>
      <x:c r="L6" s="199" t="str">
        <x:v>Situação</x:v>
      </x:c>
      <x:c r="M6" s="200" t="str">
        <x:v>Observação / ação</x:v>
      </x:c>
    </x:row>
    <x:row r="7" ht="15" hidden="0" customHeight="1">
      <x:c r="A7" s="179" t="n">
        <x:v>1</x:v>
      </x:c>
      <x:c r="B7" s="221" t="str">
        <x:v>server/app.ts</x:v>
      </x:c>
      <x:c r="C7" s="221" t="str">
        <x:v>Backend / Infraestrutura</x:v>
      </x:c>
      <x:c r="D7" s="221" t="str">
        <x:v>P1</x:v>
      </x:c>
      <x:c r="E7" s="221" t="str">
        <x:v>Indireto</x:v>
      </x:c>
      <x:c r="F7" s="221" t="str">
        <x:v>server/tests/critical_routes.unit.test.ts</x:v>
      </x:c>
      <x:c r="G7" s="180" t="n">
        <x:v>42</x:v>
      </x:c>
      <x:c r="H7" s="180" t="n">
        <x:v>39</x:v>
      </x:c>
      <x:c r="I7" s="222" t="n">
        <x:v>0.9285</x:v>
      </x:c>
      <x:c r="J7" s="222" t="n">
        <x:v>0</x:v>
      </x:c>
      <x:c r="K7" s="222" t="n">
        <x:v>1</x:v>
      </x:c>
      <x:c r="L7" s="179" t="str">
        <x:v>Coberto</x:v>
      </x:c>
      <x:c r="M7" s="221" t="str">
        <x:v>Manter suíte e cobrir branches remanescentes.</x:v>
      </x:c>
    </x:row>
    <x:row r="8" ht="15" hidden="0" customHeight="1">
      <x:c r="A8" s="179" t="n">
        <x:v>2</x:v>
      </x:c>
      <x:c r="B8" s="221" t="str">
        <x:v>server/db.ts</x:v>
      </x:c>
      <x:c r="C8" s="221" t="str">
        <x:v>Backend / Infraestrutura</x:v>
      </x:c>
      <x:c r="D8" s="221" t="str">
        <x:v>P1</x:v>
      </x:c>
      <x:c r="E8" s="221" t="str">
        <x:v>Indireto</x:v>
      </x:c>
      <x:c r="F8" s="221" t="str">
        <x:v>carregado indiretamente pela aplicação</x:v>
      </x:c>
      <x:c r="G8" s="180" t="n">
        <x:v>10</x:v>
      </x:c>
      <x:c r="H8" s="180" t="n">
        <x:v>8</x:v>
      </x:c>
      <x:c r="I8" s="222" t="n">
        <x:v>0.8</x:v>
      </x:c>
      <x:c r="J8" s="222" t="n">
        <x:v>0</x:v>
      </x:c>
      <x:c r="K8" s="222" t="n">
        <x:v>1</x:v>
      </x:c>
      <x:c r="L8" s="179" t="str">
        <x:v>Coberto</x:v>
      </x:c>
      <x:c r="M8" s="221" t="str">
        <x:v>Manter suíte e cobrir branches remanescentes.</x:v>
      </x:c>
    </x:row>
    <x:row r="9" ht="15" hidden="0" customHeight="1">
      <x:c r="A9" s="179" t="n">
        <x:v>3</x:v>
      </x:c>
      <x:c r="B9" s="221" t="str">
        <x:v>server/index.ts</x:v>
      </x:c>
      <x:c r="C9" s="221" t="str">
        <x:v>Backend / Infraestrutura</x:v>
      </x:c>
      <x:c r="D9" s="221" t="str">
        <x:v>P1</x:v>
      </x:c>
      <x:c r="E9" s="221" t="str">
        <x:v>Não</x:v>
      </x:c>
      <x:c r="F9" s="221" t="str">
        <x:v>Nenhum teste localizado</x:v>
      </x:c>
      <x:c r="G9" s="180" t="n">
        <x:v>8</x:v>
      </x:c>
      <x:c r="H9" s="180" t="n">
        <x:v>0</x:v>
      </x:c>
      <x:c r="I9" s="222" t="n">
        <x:v>0</x:v>
      </x:c>
      <x:c r="J9" s="222" t="n">
        <x:v>0</x:v>
      </x:c>
      <x:c r="K9" s="222" t="n">
        <x:v>0</x:v>
      </x:c>
      <x:c r="L9" s="179" t="str">
        <x:v>Sem cobertura</x:v>
      </x:c>
      <x:c r="M9" s="221" t="str">
        <x:v>Criar testes unitários ou de componente dedicados.</x:v>
      </x:c>
    </x:row>
    <x:row r="10" ht="15" hidden="0" customHeight="1">
      <x:c r="A10" s="179" t="n">
        <x:v>4</x:v>
      </x:c>
      <x:c r="B10" s="221" t="str">
        <x:v>server/migrate.ts</x:v>
      </x:c>
      <x:c r="C10" s="221" t="str">
        <x:v>Backend / Infraestrutura</x:v>
      </x:c>
      <x:c r="D10" s="221" t="str">
        <x:v>P1</x:v>
      </x:c>
      <x:c r="E10" s="221" t="str">
        <x:v>Não</x:v>
      </x:c>
      <x:c r="F10" s="221" t="str">
        <x:v>Nenhum teste localizado</x:v>
      </x:c>
      <x:c r="G10" s="180" t="n">
        <x:v>189</x:v>
      </x:c>
      <x:c r="H10" s="180" t="n">
        <x:v>0</x:v>
      </x:c>
      <x:c r="I10" s="222" t="n">
        <x:v>0</x:v>
      </x:c>
      <x:c r="J10" s="222" t="n">
        <x:v>0</x:v>
      </x:c>
      <x:c r="K10" s="222" t="n">
        <x:v>0</x:v>
      </x:c>
      <x:c r="L10" s="179" t="str">
        <x:v>Sem cobertura</x:v>
      </x:c>
      <x:c r="M10" s="221" t="str">
        <x:v>Criar testes unitários ou de componente dedicados.</x:v>
      </x:c>
    </x:row>
    <x:row r="11" ht="24" hidden="0" customHeight="1">
      <x:c r="A11" s="179" t="n">
        <x:v>5</x:v>
      </x:c>
      <x:c r="B11" s="221" t="str">
        <x:v>server/migrationSafety.ts</x:v>
      </x:c>
      <x:c r="C11" s="221" t="str">
        <x:v>Backend / Infraestrutura</x:v>
      </x:c>
      <x:c r="D11" s="221" t="str">
        <x:v>P1</x:v>
      </x:c>
      <x:c r="E11" s="221" t="str">
        <x:v>Sim</x:v>
      </x:c>
      <x:c r="F11" s="221" t="str">
        <x:v>server/tests/migrationSafety.test.ts</x:v>
      </x:c>
      <x:c r="G11" s="180" t="n">
        <x:v>270</x:v>
      </x:c>
      <x:c r="H11" s="180" t="n">
        <x:v>197</x:v>
      </x:c>
      <x:c r="I11" s="222" t="n">
        <x:v>0.7295999999999999</x:v>
      </x:c>
      <x:c r="J11" s="222" t="n">
        <x:v>0.8946999999999999</x:v>
      </x:c>
      <x:c r="K11" s="222" t="n">
        <x:v>0.6666</x:v>
      </x:c>
      <x:c r="L11" s="179" t="str">
        <x:v>Parcial</x:v>
      </x:c>
      <x:c r="M11" s="221" t="str">
        <x:v>Cobertura insuficiente; ampliar caminhos felizes, erros e autorização.</x:v>
      </x:c>
    </x:row>
    <x:row r="12" ht="24" hidden="0" customHeight="1">
      <x:c r="A12" s="179" t="n">
        <x:v>6</x:v>
      </x:c>
      <x:c r="B12" s="221" t="str">
        <x:v>server/middleware/auth.ts</x:v>
      </x:c>
      <x:c r="C12" s="221" t="str">
        <x:v>Backend / Middleware</x:v>
      </x:c>
      <x:c r="D12" s="221" t="str">
        <x:v>P0</x:v>
      </x:c>
      <x:c r="E12" s="221" t="str">
        <x:v>Indireto</x:v>
      </x:c>
      <x:c r="F12" s="221" t="str">
        <x:v>server/tests/critical_routes.unit.test.ts</x:v>
      </x:c>
      <x:c r="G12" s="180" t="n">
        <x:v>116</x:v>
      </x:c>
      <x:c r="H12" s="180" t="n">
        <x:v>58</x:v>
      </x:c>
      <x:c r="I12" s="222" t="n">
        <x:v>0.5</x:v>
      </x:c>
      <x:c r="J12" s="222" t="n">
        <x:v>0.7333</x:v>
      </x:c>
      <x:c r="K12" s="222" t="n">
        <x:v>0.6</x:v>
      </x:c>
      <x:c r="L12" s="179" t="str">
        <x:v>Parcial</x:v>
      </x:c>
      <x:c r="M12" s="221" t="str">
        <x:v>Cobertura insuficiente; ampliar caminhos felizes, erros e autorização.</x:v>
      </x:c>
    </x:row>
    <x:row r="13" ht="24" hidden="0" customHeight="1">
      <x:c r="A13" s="179" t="n">
        <x:v>7</x:v>
      </x:c>
      <x:c r="B13" s="221" t="str">
        <x:v>server/routes/ai.ts</x:v>
      </x:c>
      <x:c r="C13" s="221" t="str">
        <x:v>Backend / Rotas</x:v>
      </x:c>
      <x:c r="D13" s="221" t="str">
        <x:v>P0</x:v>
      </x:c>
      <x:c r="E13" s="221" t="str">
        <x:v>Indireto</x:v>
      </x:c>
      <x:c r="F13" s="221" t="str">
        <x:v>carregado ao importar server/app.ts</x:v>
      </x:c>
      <x:c r="G13" s="180" t="n">
        <x:v>525</x:v>
      </x:c>
      <x:c r="H13" s="180" t="n">
        <x:v>114</x:v>
      </x:c>
      <x:c r="I13" s="222" t="n">
        <x:v>0.21710000000000002</x:v>
      </x:c>
      <x:c r="J13" s="222" t="n">
        <x:v>1</x:v>
      </x:c>
      <x:c r="K13" s="222" t="n">
        <x:v>0.23070000000000002</x:v>
      </x:c>
      <x:c r="L13" s="179" t="str">
        <x:v>Parcial</x:v>
      </x:c>
      <x:c r="M13" s="221" t="str">
        <x:v>Cobertura insuficiente; ampliar caminhos felizes, erros e autorização.</x:v>
      </x:c>
    </x:row>
    <x:row r="14" ht="24" hidden="0" customHeight="1">
      <x:c r="A14" s="179" t="n">
        <x:v>8</x:v>
      </x:c>
      <x:c r="B14" s="221" t="str">
        <x:v>server/routes/applicationChecklists.ts</x:v>
      </x:c>
      <x:c r="C14" s="221" t="str">
        <x:v>Backend / Rotas</x:v>
      </x:c>
      <x:c r="D14" s="221" t="str">
        <x:v>P1</x:v>
      </x:c>
      <x:c r="E14" s="221" t="str">
        <x:v>Sim</x:v>
      </x:c>
      <x:c r="F14" s="221" t="str">
        <x:v>server/tests/critical_routes.unit.test.ts</x:v>
      </x:c>
      <x:c r="G14" s="180" t="n">
        <x:v>261</x:v>
      </x:c>
      <x:c r="H14" s="180" t="n">
        <x:v>101</x:v>
      </x:c>
      <x:c r="I14" s="222" t="n">
        <x:v>0.38689999999999997</x:v>
      </x:c>
      <x:c r="J14" s="222" t="n">
        <x:v>0.4285</x:v>
      </x:c>
      <x:c r="K14" s="222" t="n">
        <x:v>0.2857</x:v>
      </x:c>
      <x:c r="L14" s="179" t="str">
        <x:v>Parcial</x:v>
      </x:c>
      <x:c r="M14" s="221" t="str">
        <x:v>Cobertura insuficiente; ampliar caminhos felizes, erros e autorização.</x:v>
      </x:c>
    </x:row>
    <x:row r="15" ht="24" hidden="0" customHeight="1">
      <x:c r="A15" s="179" t="n">
        <x:v>9</x:v>
      </x:c>
      <x:c r="B15" s="221" t="str">
        <x:v>server/routes/auth.ts</x:v>
      </x:c>
      <x:c r="C15" s="221" t="str">
        <x:v>Backend / Rotas</x:v>
      </x:c>
      <x:c r="D15" s="221" t="str">
        <x:v>P0</x:v>
      </x:c>
      <x:c r="E15" s="221" t="str">
        <x:v>Indireto</x:v>
      </x:c>
      <x:c r="F15" s="221" t="str">
        <x:v>carregado ao importar server/app.ts</x:v>
      </x:c>
      <x:c r="G15" s="180" t="n">
        <x:v>207</x:v>
      </x:c>
      <x:c r="H15" s="180" t="n">
        <x:v>25</x:v>
      </x:c>
      <x:c r="I15" s="222" t="n">
        <x:v>0.1207</x:v>
      </x:c>
      <x:c r="J15" s="222" t="n">
        <x:v>1</x:v>
      </x:c>
      <x:c r="K15" s="222" t="n">
        <x:v>1</x:v>
      </x:c>
      <x:c r="L15" s="179" t="str">
        <x:v>Parcial</x:v>
      </x:c>
      <x:c r="M15" s="221" t="str">
        <x:v>Cobertura insuficiente; ampliar caminhos felizes, erros e autorização.</x:v>
      </x:c>
    </x:row>
    <x:row r="16" ht="24" hidden="0" customHeight="1">
      <x:c r="A16" s="179" t="n">
        <x:v>10</x:v>
      </x:c>
      <x:c r="B16" s="221" t="str">
        <x:v>server/routes/checklistCatalog.ts</x:v>
      </x:c>
      <x:c r="C16" s="221" t="str">
        <x:v>Backend / Rotas</x:v>
      </x:c>
      <x:c r="D16" s="221" t="str">
        <x:v>P1</x:v>
      </x:c>
      <x:c r="E16" s="221" t="str">
        <x:v>Sim</x:v>
      </x:c>
      <x:c r="F16" s="221" t="str">
        <x:v>server/tests/critical_routes.unit.test.ts</x:v>
      </x:c>
      <x:c r="G16" s="180" t="n">
        <x:v>267</x:v>
      </x:c>
      <x:c r="H16" s="180" t="n">
        <x:v>99</x:v>
      </x:c>
      <x:c r="I16" s="222" t="n">
        <x:v>0.37070000000000003</x:v>
      </x:c>
      <x:c r="J16" s="222" t="n">
        <x:v>0.44</x:v>
      </x:c>
      <x:c r="K16" s="222" t="n">
        <x:v>1</x:v>
      </x:c>
      <x:c r="L16" s="179" t="str">
        <x:v>Parcial</x:v>
      </x:c>
      <x:c r="M16" s="221" t="str">
        <x:v>Cobertura insuficiente; ampliar caminhos felizes, erros e autorização.</x:v>
      </x:c>
    </x:row>
    <x:row r="17" ht="24" hidden="0" customHeight="1">
      <x:c r="A17" s="179" t="n">
        <x:v>11</x:v>
      </x:c>
      <x:c r="B17" s="221" t="str">
        <x:v>server/routes/checklists.ts</x:v>
      </x:c>
      <x:c r="C17" s="221" t="str">
        <x:v>Backend / Rotas</x:v>
      </x:c>
      <x:c r="D17" s="221" t="str">
        <x:v>P0</x:v>
      </x:c>
      <x:c r="E17" s="221" t="str">
        <x:v>Indireto</x:v>
      </x:c>
      <x:c r="F17" s="221" t="str">
        <x:v>server/tests/pdf.test.ts (2 casos ignorados sem BD)</x:v>
      </x:c>
      <x:c r="G17" s="180" t="n">
        <x:v>515</x:v>
      </x:c>
      <x:c r="H17" s="180" t="n">
        <x:v>20</x:v>
      </x:c>
      <x:c r="I17" s="222" t="n">
        <x:v>0.0388</x:v>
      </x:c>
      <x:c r="J17" s="222" t="n">
        <x:v>1</x:v>
      </x:c>
      <x:c r="K17" s="222" t="n">
        <x:v>0</x:v>
      </x:c>
      <x:c r="L17" s="179" t="str">
        <x:v>Parcial</x:v>
      </x:c>
      <x:c r="M17" s="221" t="str">
        <x:v>Cobertura insuficiente; ampliar caminhos felizes, erros e autorização.</x:v>
      </x:c>
    </x:row>
    <x:row r="18" ht="24" hidden="0" customHeight="1">
      <x:c r="A18" s="179" t="n">
        <x:v>12</x:v>
      </x:c>
      <x:c r="B18" s="221" t="str">
        <x:v>server/routes/dictionary.ts</x:v>
      </x:c>
      <x:c r="C18" s="221" t="str">
        <x:v>Backend / Rotas</x:v>
      </x:c>
      <x:c r="D18" s="221" t="str">
        <x:v>P1</x:v>
      </x:c>
      <x:c r="E18" s="221" t="str">
        <x:v>Sim</x:v>
      </x:c>
      <x:c r="F18" s="221" t="str">
        <x:v>server/tests/critical_routes.unit.test.ts</x:v>
      </x:c>
      <x:c r="G18" s="180" t="n">
        <x:v>213</x:v>
      </x:c>
      <x:c r="H18" s="180" t="n">
        <x:v>98</x:v>
      </x:c>
      <x:c r="I18" s="222" t="n">
        <x:v>0.46</x:v>
      </x:c>
      <x:c r="J18" s="222" t="n">
        <x:v>0.375</x:v>
      </x:c>
      <x:c r="K18" s="222" t="n">
        <x:v>1</x:v>
      </x:c>
      <x:c r="L18" s="179" t="str">
        <x:v>Parcial</x:v>
      </x:c>
      <x:c r="M18" s="221" t="str">
        <x:v>Cobertura insuficiente; ampliar caminhos felizes, erros e autorização.</x:v>
      </x:c>
    </x:row>
    <x:row r="19" ht="24" hidden="0" customHeight="1">
      <x:c r="A19" s="179" t="n">
        <x:v>13</x:v>
      </x:c>
      <x:c r="B19" s="221" t="str">
        <x:v>server/routes/interactions.ts</x:v>
      </x:c>
      <x:c r="C19" s="221" t="str">
        <x:v>Backend / Rotas</x:v>
      </x:c>
      <x:c r="D19" s="221" t="str">
        <x:v>P1</x:v>
      </x:c>
      <x:c r="E19" s="221" t="str">
        <x:v>Indireto</x:v>
      </x:c>
      <x:c r="F19" s="221" t="str">
        <x:v>carregado ao importar server/app.ts</x:v>
      </x:c>
      <x:c r="G19" s="180" t="n">
        <x:v>112</x:v>
      </x:c>
      <x:c r="H19" s="180" t="n">
        <x:v>15</x:v>
      </x:c>
      <x:c r="I19" s="222" t="n">
        <x:v>0.13390000000000002</x:v>
      </x:c>
      <x:c r="J19" s="222" t="n">
        <x:v>1</x:v>
      </x:c>
      <x:c r="K19" s="222" t="n">
        <x:v>1</x:v>
      </x:c>
      <x:c r="L19" s="179" t="str">
        <x:v>Parcial</x:v>
      </x:c>
      <x:c r="M19" s="221" t="str">
        <x:v>Cobertura insuficiente; ampliar caminhos felizes, erros e autorização.</x:v>
      </x:c>
    </x:row>
    <x:row r="20" ht="24" hidden="0" customHeight="1">
      <x:c r="A20" s="179" t="n">
        <x:v>14</x:v>
      </x:c>
      <x:c r="B20" s="221" t="str">
        <x:v>server/routes/jobs.ts</x:v>
      </x:c>
      <x:c r="C20" s="221" t="str">
        <x:v>Backend / Rotas</x:v>
      </x:c>
      <x:c r="D20" s="221" t="str">
        <x:v>P1</x:v>
      </x:c>
      <x:c r="E20" s="221" t="str">
        <x:v>Indireto</x:v>
      </x:c>
      <x:c r="F20" s="221" t="str">
        <x:v>carregado ao importar server/app.ts</x:v>
      </x:c>
      <x:c r="G20" s="180" t="n">
        <x:v>160</x:v>
      </x:c>
      <x:c r="H20" s="180" t="n">
        <x:v>32</x:v>
      </x:c>
      <x:c r="I20" s="222" t="n">
        <x:v>0.2</x:v>
      </x:c>
      <x:c r="J20" s="222" t="n">
        <x:v>1</x:v>
      </x:c>
      <x:c r="K20" s="222" t="n">
        <x:v>0.5</x:v>
      </x:c>
      <x:c r="L20" s="179" t="str">
        <x:v>Parcial</x:v>
      </x:c>
      <x:c r="M20" s="221" t="str">
        <x:v>Cobertura insuficiente; ampliar caminhos felizes, erros e autorização.</x:v>
      </x:c>
    </x:row>
    <x:row r="21" ht="24" hidden="0" customHeight="1">
      <x:c r="A21" s="179" t="n">
        <x:v>15</x:v>
      </x:c>
      <x:c r="B21" s="221" t="str">
        <x:v>server/routes/norms.ts</x:v>
      </x:c>
      <x:c r="C21" s="221" t="str">
        <x:v>Backend / Rotas</x:v>
      </x:c>
      <x:c r="D21" s="221" t="str">
        <x:v>P1</x:v>
      </x:c>
      <x:c r="E21" s="221" t="str">
        <x:v>Sim</x:v>
      </x:c>
      <x:c r="F21" s="221" t="str">
        <x:v>server/tests/norms_applicability.unit.test.ts</x:v>
      </x:c>
      <x:c r="G21" s="180" t="n">
        <x:v>449</x:v>
      </x:c>
      <x:c r="H21" s="180" t="n">
        <x:v>99</x:v>
      </x:c>
      <x:c r="I21" s="222" t="n">
        <x:v>0.22039999999999998</x:v>
      </x:c>
      <x:c r="J21" s="222" t="n">
        <x:v>0.9375</x:v>
      </x:c>
      <x:c r="K21" s="222" t="n">
        <x:v>0.5</x:v>
      </x:c>
      <x:c r="L21" s="179" t="str">
        <x:v>Parcial</x:v>
      </x:c>
      <x:c r="M21" s="221" t="str">
        <x:v>Cobertura insuficiente; ampliar caminhos felizes, erros e autorização.</x:v>
      </x:c>
    </x:row>
    <x:row r="22" ht="24" hidden="0" customHeight="1">
      <x:c r="A22" s="179" t="n">
        <x:v>16</x:v>
      </x:c>
      <x:c r="B22" s="221" t="str">
        <x:v>server/routes/systemPrompts.ts</x:v>
      </x:c>
      <x:c r="C22" s="221" t="str">
        <x:v>Backend / Rotas</x:v>
      </x:c>
      <x:c r="D22" s="221" t="str">
        <x:v>P1</x:v>
      </x:c>
      <x:c r="E22" s="221" t="str">
        <x:v>Indireto</x:v>
      </x:c>
      <x:c r="F22" s="221" t="str">
        <x:v>carregado ao importar server/app.ts</x:v>
      </x:c>
      <x:c r="G22" s="180" t="n">
        <x:v>50</x:v>
      </x:c>
      <x:c r="H22" s="180" t="n">
        <x:v>15</x:v>
      </x:c>
      <x:c r="I22" s="222" t="n">
        <x:v>0.3</x:v>
      </x:c>
      <x:c r="J22" s="222" t="n">
        <x:v>1</x:v>
      </x:c>
      <x:c r="K22" s="222" t="n">
        <x:v>1</x:v>
      </x:c>
      <x:c r="L22" s="179" t="str">
        <x:v>Parcial</x:v>
      </x:c>
      <x:c r="M22" s="221" t="str">
        <x:v>Cobertura insuficiente; ampliar caminhos felizes, erros e autorização.</x:v>
      </x:c>
    </x:row>
    <x:row r="23" ht="24" hidden="0" customHeight="1">
      <x:c r="A23" s="179" t="n">
        <x:v>17</x:v>
      </x:c>
      <x:c r="B23" s="221" t="str">
        <x:v>server/routes/users.ts</x:v>
      </x:c>
      <x:c r="C23" s="221" t="str">
        <x:v>Backend / Rotas</x:v>
      </x:c>
      <x:c r="D23" s="221" t="str">
        <x:v>P1</x:v>
      </x:c>
      <x:c r="E23" s="221" t="str">
        <x:v>Indireto</x:v>
      </x:c>
      <x:c r="F23" s="221" t="str">
        <x:v>carregado ao importar server/app.ts</x:v>
      </x:c>
      <x:c r="G23" s="180" t="n">
        <x:v>223</x:v>
      </x:c>
      <x:c r="H23" s="180" t="n">
        <x:v>15</x:v>
      </x:c>
      <x:c r="I23" s="222" t="n">
        <x:v>0.0672</x:v>
      </x:c>
      <x:c r="J23" s="222" t="n">
        <x:v>1</x:v>
      </x:c>
      <x:c r="K23" s="222" t="n">
        <x:v>1</x:v>
      </x:c>
      <x:c r="L23" s="179" t="str">
        <x:v>Parcial</x:v>
      </x:c>
      <x:c r="M23" s="221" t="str">
        <x:v>Cobertura insuficiente; ampliar caminhos felizes, erros e autorização.</x:v>
      </x:c>
    </x:row>
    <x:row r="24" ht="24" hidden="0" customHeight="1">
      <x:c r="A24" s="179" t="n">
        <x:v>18</x:v>
      </x:c>
      <x:c r="B24" s="221" t="str">
        <x:v>server/routes/validation.ts</x:v>
      </x:c>
      <x:c r="C24" s="221" t="str">
        <x:v>Backend / Rotas</x:v>
      </x:c>
      <x:c r="D24" s="221" t="str">
        <x:v>P1</x:v>
      </x:c>
      <x:c r="E24" s="221" t="str">
        <x:v>Indireto</x:v>
      </x:c>
      <x:c r="F24" s="221" t="str">
        <x:v>carregado ao importar server/app.ts</x:v>
      </x:c>
      <x:c r="G24" s="180" t="n">
        <x:v>36</x:v>
      </x:c>
      <x:c r="H24" s="180" t="n">
        <x:v>10</x:v>
      </x:c>
      <x:c r="I24" s="222" t="n">
        <x:v>0.2777</x:v>
      </x:c>
      <x:c r="J24" s="222" t="n">
        <x:v>1</x:v>
      </x:c>
      <x:c r="K24" s="222" t="n">
        <x:v>1</x:v>
      </x:c>
      <x:c r="L24" s="179" t="str">
        <x:v>Parcial</x:v>
      </x:c>
      <x:c r="M24" s="221" t="str">
        <x:v>Cobertura insuficiente; ampliar caminhos felizes, erros e autorização.</x:v>
      </x:c>
    </x:row>
    <x:row r="25" ht="15" hidden="0" customHeight="1">
      <x:c r="A25" s="179" t="n">
        <x:v>19</x:v>
      </x:c>
      <x:c r="B25" s="221" t="str">
        <x:v>server/schemas/checklistSchema.ts</x:v>
      </x:c>
      <x:c r="C25" s="221" t="str">
        <x:v>Backend / Schema</x:v>
      </x:c>
      <x:c r="D25" s="221" t="str">
        <x:v>P1</x:v>
      </x:c>
      <x:c r="E25" s="221" t="str">
        <x:v>Sim</x:v>
      </x:c>
      <x:c r="F25" s="221" t="str">
        <x:v>server/tests/checklist_schema_v2.test.ts</x:v>
      </x:c>
      <x:c r="G25" s="180" t="n">
        <x:v>615</x:v>
      </x:c>
      <x:c r="H25" s="180" t="n">
        <x:v>518</x:v>
      </x:c>
      <x:c r="I25" s="222" t="n">
        <x:v>0.8422</x:v>
      </x:c>
      <x:c r="J25" s="222" t="n">
        <x:v>0.5089</x:v>
      </x:c>
      <x:c r="K25" s="222" t="n">
        <x:v>1</x:v>
      </x:c>
      <x:c r="L25" s="179" t="str">
        <x:v>Coberto</x:v>
      </x:c>
      <x:c r="M25" s="221" t="str">
        <x:v>Manter suíte e cobrir branches remanescentes.</x:v>
      </x:c>
    </x:row>
    <x:row r="26" ht="15" hidden="0" customHeight="1">
      <x:c r="A26" s="179" t="n">
        <x:v>20</x:v>
      </x:c>
      <x:c r="B26" s="221" t="str">
        <x:v>server/services/pdfService.ts</x:v>
      </x:c>
      <x:c r="C26" s="221" t="str">
        <x:v>Backend / Serviços</x:v>
      </x:c>
      <x:c r="D26" s="221" t="str">
        <x:v>P1</x:v>
      </x:c>
      <x:c r="E26" s="221" t="str">
        <x:v>Sim</x:v>
      </x:c>
      <x:c r="F26" s="221" t="str">
        <x:v>server/tests/pdf-renderer.test.ts; server/tests/pdf.test.ts</x:v>
      </x:c>
      <x:c r="G26" s="180" t="n">
        <x:v>693</x:v>
      </x:c>
      <x:c r="H26" s="180" t="n">
        <x:v>659</x:v>
      </x:c>
      <x:c r="I26" s="222" t="n">
        <x:v>0.9509000000000001</x:v>
      </x:c>
      <x:c r="J26" s="222" t="n">
        <x:v>0.7006999999999999</x:v>
      </x:c>
      <x:c r="K26" s="222" t="n">
        <x:v>1</x:v>
      </x:c>
      <x:c r="L26" s="179" t="str">
        <x:v>Coberto</x:v>
      </x:c>
      <x:c r="M26" s="221" t="str">
        <x:v>Manter suíte e cobrir branches remanescentes.</x:v>
      </x:c>
    </x:row>
    <x:row r="27" ht="24" hidden="0" customHeight="1">
      <x:c r="A27" s="179" t="n">
        <x:v>21</x:v>
      </x:c>
      <x:c r="B27" s="221" t="str">
        <x:v>server/services/validationEngine.ts</x:v>
      </x:c>
      <x:c r="C27" s="221" t="str">
        <x:v>Backend / Serviços</x:v>
      </x:c>
      <x:c r="D27" s="221" t="str">
        <x:v>P0</x:v>
      </x:c>
      <x:c r="E27" s="221" t="str">
        <x:v>Indireto</x:v>
      </x:c>
      <x:c r="F27" s="221" t="str">
        <x:v>importado por rotas; lógica principal pouco exercitada</x:v>
      </x:c>
      <x:c r="G27" s="180" t="n">
        <x:v>753</x:v>
      </x:c>
      <x:c r="H27" s="180" t="n">
        <x:v>126</x:v>
      </x:c>
      <x:c r="I27" s="222" t="n">
        <x:v>0.1673</x:v>
      </x:c>
      <x:c r="J27" s="222" t="n">
        <x:v>0.3</x:v>
      </x:c>
      <x:c r="K27" s="222" t="n">
        <x:v>0.23070000000000002</x:v>
      </x:c>
      <x:c r="L27" s="179" t="str">
        <x:v>Parcial</x:v>
      </x:c>
      <x:c r="M27" s="221" t="str">
        <x:v>Cobertura insuficiente; ampliar caminhos felizes, erros e autorização.</x:v>
      </x:c>
    </x:row>
    <x:row r="28" ht="15" hidden="0" customHeight="1">
      <x:c r="A28" s="179" t="n">
        <x:v>22</x:v>
      </x:c>
      <x:c r="B28" s="221" t="str">
        <x:v>src/App.tsx</x:v>
      </x:c>
      <x:c r="C28" s="221" t="str">
        <x:v>Frontend / Base</x:v>
      </x:c>
      <x:c r="D28" s="221" t="str">
        <x:v>P1</x:v>
      </x:c>
      <x:c r="E28" s="221" t="str">
        <x:v>Não</x:v>
      </x:c>
      <x:c r="F28" s="221" t="str">
        <x:v>Nenhum teste localizado</x:v>
      </x:c>
      <x:c r="G28" s="180" t="n">
        <x:v>230</x:v>
      </x:c>
      <x:c r="H28" s="180" t="n">
        <x:v>0</x:v>
      </x:c>
      <x:c r="I28" s="222" t="n">
        <x:v>0</x:v>
      </x:c>
      <x:c r="J28" s="222" t="n">
        <x:v>0</x:v>
      </x:c>
      <x:c r="K28" s="222" t="n">
        <x:v>0</x:v>
      </x:c>
      <x:c r="L28" s="179" t="str">
        <x:v>Sem cobertura</x:v>
      </x:c>
      <x:c r="M28" s="221" t="str">
        <x:v>Criar testes unitários ou de componente dedicados.</x:v>
      </x:c>
    </x:row>
    <x:row r="29" ht="15" hidden="0" customHeight="1">
      <x:c r="A29" s="179" t="n">
        <x:v>23</x:v>
      </x:c>
      <x:c r="B29" s="221" t="str">
        <x:v>src/main.tsx</x:v>
      </x:c>
      <x:c r="C29" s="221" t="str">
        <x:v>Frontend / Base</x:v>
      </x:c>
      <x:c r="D29" s="221" t="str">
        <x:v>P1</x:v>
      </x:c>
      <x:c r="E29" s="221" t="str">
        <x:v>Não</x:v>
      </x:c>
      <x:c r="F29" s="221" t="str">
        <x:v>Nenhum teste localizado</x:v>
      </x:c>
      <x:c r="G29" s="180" t="n">
        <x:v>10</x:v>
      </x:c>
      <x:c r="H29" s="180" t="n">
        <x:v>0</x:v>
      </x:c>
      <x:c r="I29" s="222" t="n">
        <x:v>0</x:v>
      </x:c>
      <x:c r="J29" s="222" t="n">
        <x:v>0</x:v>
      </x:c>
      <x:c r="K29" s="222" t="n">
        <x:v>0</x:v>
      </x:c>
      <x:c r="L29" s="179" t="str">
        <x:v>Sem cobertura</x:v>
      </x:c>
      <x:c r="M29" s="221" t="str">
        <x:v>Criar testes unitários ou de componente dedicados.</x:v>
      </x:c>
    </x:row>
    <x:row r="30" ht="15" hidden="0" customHeight="1">
      <x:c r="A30" s="179" t="n">
        <x:v>24</x:v>
      </x:c>
      <x:c r="B30" s="221" t="str">
        <x:v>src/vite-env.d.ts</x:v>
      </x:c>
      <x:c r="C30" s="221" t="str">
        <x:v>Frontend / Base</x:v>
      </x:c>
      <x:c r="D30" s="221" t="str">
        <x:v>N/A</x:v>
      </x:c>
      <x:c r="E30" s="221" t="str">
        <x:v>N/A</x:v>
      </x:c>
      <x:c r="F30" s="221" t="str">
        <x:v>Nenhum teste localizado</x:v>
      </x:c>
      <x:c r="G30" s="180" t="n">
        <x:v>1</x:v>
      </x:c>
      <x:c r="H30" s="180" t="n">
        <x:v>0</x:v>
      </x:c>
      <x:c r="I30" s="222" t="n">
        <x:v>0</x:v>
      </x:c>
      <x:c r="J30" s="222" t="n">
        <x:v>0</x:v>
      </x:c>
      <x:c r="K30" s="222" t="n">
        <x:v>0</x:v>
      </x:c>
      <x:c r="L30" s="179" t="str">
        <x:v>Não aplicável</x:v>
      </x:c>
      <x:c r="M30" s="221" t="str">
        <x:v>Arquivo declarativo; validar por compilação/type-check.</x:v>
      </x:c>
    </x:row>
    <x:row r="31" ht="15" hidden="0" customHeight="1">
      <x:c r="A31" s="179" t="n">
        <x:v>25</x:v>
      </x:c>
      <x:c r="B31" s="221" t="str">
        <x:v>src/components/AgentView.tsx</x:v>
      </x:c>
      <x:c r="C31" s="221" t="str">
        <x:v>Frontend / Componentes</x:v>
      </x:c>
      <x:c r="D31" s="221" t="str">
        <x:v>P1</x:v>
      </x:c>
      <x:c r="E31" s="221" t="str">
        <x:v>Não</x:v>
      </x:c>
      <x:c r="F31" s="221" t="str">
        <x:v>Nenhum teste localizado</x:v>
      </x:c>
      <x:c r="G31" s="180" t="n">
        <x:v>1110</x:v>
      </x:c>
      <x:c r="H31" s="180" t="n">
        <x:v>0</x:v>
      </x:c>
      <x:c r="I31" s="222" t="n">
        <x:v>0</x:v>
      </x:c>
      <x:c r="J31" s="222" t="n">
        <x:v>0</x:v>
      </x:c>
      <x:c r="K31" s="222" t="n">
        <x:v>0</x:v>
      </x:c>
      <x:c r="L31" s="179" t="str">
        <x:v>Sem cobertura</x:v>
      </x:c>
      <x:c r="M31" s="221" t="str">
        <x:v>Criar testes unitários ou de componente dedicados.</x:v>
      </x:c>
    </x:row>
    <x:row r="32" ht="15" hidden="0" customHeight="1">
      <x:c r="A32" s="179" t="n">
        <x:v>26</x:v>
      </x:c>
      <x:c r="B32" s="221" t="str">
        <x:v>src/components/ChecklistCatalogView.tsx</x:v>
      </x:c>
      <x:c r="C32" s="221" t="str">
        <x:v>Frontend / Componentes</x:v>
      </x:c>
      <x:c r="D32" s="221" t="str">
        <x:v>P2</x:v>
      </x:c>
      <x:c r="E32" s="221" t="str">
        <x:v>Não</x:v>
      </x:c>
      <x:c r="F32" s="221" t="str">
        <x:v>Nenhum teste localizado</x:v>
      </x:c>
      <x:c r="G32" s="180" t="n">
        <x:v>574</x:v>
      </x:c>
      <x:c r="H32" s="180" t="n">
        <x:v>0</x:v>
      </x:c>
      <x:c r="I32" s="222" t="n">
        <x:v>0</x:v>
      </x:c>
      <x:c r="J32" s="222" t="n">
        <x:v>0</x:v>
      </x:c>
      <x:c r="K32" s="222" t="n">
        <x:v>0</x:v>
      </x:c>
      <x:c r="L32" s="179" t="str">
        <x:v>Sem cobertura</x:v>
      </x:c>
      <x:c r="M32" s="221" t="str">
        <x:v>Criar testes unitários ou de componente dedicados.</x:v>
      </x:c>
    </x:row>
    <x:row r="33" ht="15" hidden="0" customHeight="1">
      <x:c r="A33" s="179" t="n">
        <x:v>27</x:v>
      </x:c>
      <x:c r="B33" s="221" t="str">
        <x:v>src/components/HelpView.tsx</x:v>
      </x:c>
      <x:c r="C33" s="221" t="str">
        <x:v>Frontend / Componentes</x:v>
      </x:c>
      <x:c r="D33" s="221" t="str">
        <x:v>P2</x:v>
      </x:c>
      <x:c r="E33" s="221" t="str">
        <x:v>Não</x:v>
      </x:c>
      <x:c r="F33" s="221" t="str">
        <x:v>Nenhum teste localizado</x:v>
      </x:c>
      <x:c r="G33" s="180" t="n">
        <x:v>351</x:v>
      </x:c>
      <x:c r="H33" s="180" t="n">
        <x:v>0</x:v>
      </x:c>
      <x:c r="I33" s="222" t="n">
        <x:v>0</x:v>
      </x:c>
      <x:c r="J33" s="222" t="n">
        <x:v>0</x:v>
      </x:c>
      <x:c r="K33" s="222" t="n">
        <x:v>0</x:v>
      </x:c>
      <x:c r="L33" s="179" t="str">
        <x:v>Sem cobertura</x:v>
      </x:c>
      <x:c r="M33" s="221" t="str">
        <x:v>Criar testes unitários ou de componente dedicados.</x:v>
      </x:c>
    </x:row>
    <x:row r="34" ht="15" hidden="0" customHeight="1">
      <x:c r="A34" s="179" t="n">
        <x:v>28</x:v>
      </x:c>
      <x:c r="B34" s="221" t="str">
        <x:v>src/components/HistoryView.tsx</x:v>
      </x:c>
      <x:c r="C34" s="221" t="str">
        <x:v>Frontend / Componentes</x:v>
      </x:c>
      <x:c r="D34" s="221" t="str">
        <x:v>P2</x:v>
      </x:c>
      <x:c r="E34" s="221" t="str">
        <x:v>Não</x:v>
      </x:c>
      <x:c r="F34" s="221" t="str">
        <x:v>Nenhum teste localizado</x:v>
      </x:c>
      <x:c r="G34" s="180" t="n">
        <x:v>386</x:v>
      </x:c>
      <x:c r="H34" s="180" t="n">
        <x:v>0</x:v>
      </x:c>
      <x:c r="I34" s="222" t="n">
        <x:v>0</x:v>
      </x:c>
      <x:c r="J34" s="222" t="n">
        <x:v>0</x:v>
      </x:c>
      <x:c r="K34" s="222" t="n">
        <x:v>0</x:v>
      </x:c>
      <x:c r="L34" s="179" t="str">
        <x:v>Sem cobertura</x:v>
      </x:c>
      <x:c r="M34" s="221" t="str">
        <x:v>Criar testes unitários ou de componente dedicados.</x:v>
      </x:c>
    </x:row>
    <x:row r="35" ht="15" hidden="0" customHeight="1">
      <x:c r="A35" s="179" t="n">
        <x:v>29</x:v>
      </x:c>
      <x:c r="B35" s="221" t="str">
        <x:v>src/components/KnowledgeViews.tsx</x:v>
      </x:c>
      <x:c r="C35" s="221" t="str">
        <x:v>Frontend / Componentes</x:v>
      </x:c>
      <x:c r="D35" s="221" t="str">
        <x:v>P2</x:v>
      </x:c>
      <x:c r="E35" s="221" t="str">
        <x:v>Não</x:v>
      </x:c>
      <x:c r="F35" s="221" t="str">
        <x:v>Nenhum teste localizado</x:v>
      </x:c>
      <x:c r="G35" s="180" t="n">
        <x:v>1264</x:v>
      </x:c>
      <x:c r="H35" s="180" t="n">
        <x:v>0</x:v>
      </x:c>
      <x:c r="I35" s="222" t="n">
        <x:v>0</x:v>
      </x:c>
      <x:c r="J35" s="222" t="n">
        <x:v>0</x:v>
      </x:c>
      <x:c r="K35" s="222" t="n">
        <x:v>0</x:v>
      </x:c>
      <x:c r="L35" s="179" t="str">
        <x:v>Sem cobertura</x:v>
      </x:c>
      <x:c r="M35" s="221" t="str">
        <x:v>Criar testes unitários ou de componente dedicados.</x:v>
      </x:c>
    </x:row>
    <x:row r="36" ht="15" hidden="0" customHeight="1">
      <x:c r="A36" s="179" t="n">
        <x:v>30</x:v>
      </x:c>
      <x:c r="B36" s="221" t="str">
        <x:v>src/components/ProtectedRoute.tsx</x:v>
      </x:c>
      <x:c r="C36" s="221" t="str">
        <x:v>Frontend / Componentes</x:v>
      </x:c>
      <x:c r="D36" s="221" t="str">
        <x:v>P0</x:v>
      </x:c>
      <x:c r="E36" s="221" t="str">
        <x:v>Não</x:v>
      </x:c>
      <x:c r="F36" s="221" t="str">
        <x:v>Nenhum teste localizado</x:v>
      </x:c>
      <x:c r="G36" s="180" t="n">
        <x:v>21</x:v>
      </x:c>
      <x:c r="H36" s="180" t="n">
        <x:v>0</x:v>
      </x:c>
      <x:c r="I36" s="222" t="n">
        <x:v>0</x:v>
      </x:c>
      <x:c r="J36" s="222" t="n">
        <x:v>0</x:v>
      </x:c>
      <x:c r="K36" s="222" t="n">
        <x:v>0</x:v>
      </x:c>
      <x:c r="L36" s="179" t="str">
        <x:v>Sem cobertura</x:v>
      </x:c>
      <x:c r="M36" s="221" t="str">
        <x:v>Criar testes unitários ou de componente dedicados.</x:v>
      </x:c>
    </x:row>
    <x:row r="37" ht="15" hidden="0" customHeight="1">
      <x:c r="A37" s="179" t="n">
        <x:v>31</x:v>
      </x:c>
      <x:c r="B37" s="221" t="str">
        <x:v>src/contexts/AuthContext.tsx</x:v>
      </x:c>
      <x:c r="C37" s="221" t="str">
        <x:v>Frontend / Contexto</x:v>
      </x:c>
      <x:c r="D37" s="221" t="str">
        <x:v>P0</x:v>
      </x:c>
      <x:c r="E37" s="221" t="str">
        <x:v>Não</x:v>
      </x:c>
      <x:c r="F37" s="221" t="str">
        <x:v>Nenhum teste localizado</x:v>
      </x:c>
      <x:c r="G37" s="180" t="n">
        <x:v>80</x:v>
      </x:c>
      <x:c r="H37" s="180" t="n">
        <x:v>0</x:v>
      </x:c>
      <x:c r="I37" s="222" t="n">
        <x:v>0</x:v>
      </x:c>
      <x:c r="J37" s="222" t="n">
        <x:v>0</x:v>
      </x:c>
      <x:c r="K37" s="222" t="n">
        <x:v>0</x:v>
      </x:c>
      <x:c r="L37" s="179" t="str">
        <x:v>Sem cobertura</x:v>
      </x:c>
      <x:c r="M37" s="221" t="str">
        <x:v>Criar testes unitários ou de componente dedicados.</x:v>
      </x:c>
    </x:row>
    <x:row r="38" ht="15" hidden="0" customHeight="1">
      <x:c r="A38" s="179" t="n">
        <x:v>32</x:v>
      </x:c>
      <x:c r="B38" s="221" t="str">
        <x:v>src/data/knowledgeBase.ts</x:v>
      </x:c>
      <x:c r="C38" s="221" t="str">
        <x:v>Frontend / Base</x:v>
      </x:c>
      <x:c r="D38" s="221" t="str">
        <x:v>P1</x:v>
      </x:c>
      <x:c r="E38" s="221" t="str">
        <x:v>Não</x:v>
      </x:c>
      <x:c r="F38" s="221" t="str">
        <x:v>Nenhum teste localizado</x:v>
      </x:c>
      <x:c r="G38" s="180" t="n">
        <x:v>72</x:v>
      </x:c>
      <x:c r="H38" s="180" t="n">
        <x:v>0</x:v>
      </x:c>
      <x:c r="I38" s="222" t="n">
        <x:v>0</x:v>
      </x:c>
      <x:c r="J38" s="222" t="n">
        <x:v>0</x:v>
      </x:c>
      <x:c r="K38" s="222" t="n">
        <x:v>0</x:v>
      </x:c>
      <x:c r="L38" s="179" t="str">
        <x:v>Sem cobertura</x:v>
      </x:c>
      <x:c r="M38" s="221" t="str">
        <x:v>Criar testes unitários ou de componente dedicados.</x:v>
      </x:c>
    </x:row>
    <x:row r="39" ht="15" hidden="0" customHeight="1">
      <x:c r="A39" s="179" t="n">
        <x:v>33</x:v>
      </x:c>
      <x:c r="B39" s="221" t="str">
        <x:v>src/lib/api.ts</x:v>
      </x:c>
      <x:c r="C39" s="221" t="str">
        <x:v>Frontend / Infraestrutura</x:v>
      </x:c>
      <x:c r="D39" s="221" t="str">
        <x:v>P0</x:v>
      </x:c>
      <x:c r="E39" s="221" t="str">
        <x:v>Não</x:v>
      </x:c>
      <x:c r="F39" s="221" t="str">
        <x:v>Nenhum teste localizado</x:v>
      </x:c>
      <x:c r="G39" s="180" t="n">
        <x:v>100</x:v>
      </x:c>
      <x:c r="H39" s="180" t="n">
        <x:v>0</x:v>
      </x:c>
      <x:c r="I39" s="222" t="n">
        <x:v>0</x:v>
      </x:c>
      <x:c r="J39" s="222" t="n">
        <x:v>0</x:v>
      </x:c>
      <x:c r="K39" s="222" t="n">
        <x:v>0</x:v>
      </x:c>
      <x:c r="L39" s="179" t="str">
        <x:v>Sem cobertura</x:v>
      </x:c>
      <x:c r="M39" s="221" t="str">
        <x:v>Criar testes unitários ou de componente dedicados.</x:v>
      </x:c>
    </x:row>
    <x:row r="40" ht="15" hidden="0" customHeight="1">
      <x:c r="A40" s="179" t="n">
        <x:v>34</x:v>
      </x:c>
      <x:c r="B40" s="221" t="str">
        <x:v>src/pages/LoginPage.tsx</x:v>
      </x:c>
      <x:c r="C40" s="221" t="str">
        <x:v>Frontend / Páginas</x:v>
      </x:c>
      <x:c r="D40" s="221" t="str">
        <x:v>P2</x:v>
      </x:c>
      <x:c r="E40" s="221" t="str">
        <x:v>Não</x:v>
      </x:c>
      <x:c r="F40" s="221" t="str">
        <x:v>Nenhum teste localizado</x:v>
      </x:c>
      <x:c r="G40" s="180" t="n">
        <x:v>134</x:v>
      </x:c>
      <x:c r="H40" s="180" t="n">
        <x:v>0</x:v>
      </x:c>
      <x:c r="I40" s="222" t="n">
        <x:v>0</x:v>
      </x:c>
      <x:c r="J40" s="222" t="n">
        <x:v>0</x:v>
      </x:c>
      <x:c r="K40" s="222" t="n">
        <x:v>0</x:v>
      </x:c>
      <x:c r="L40" s="179" t="str">
        <x:v>Sem cobertura</x:v>
      </x:c>
      <x:c r="M40" s="221" t="str">
        <x:v>Criar testes unitários ou de componente dedicados.</x:v>
      </x:c>
    </x:row>
    <x:row r="41" ht="15" hidden="0" customHeight="1">
      <x:c r="A41" s="179" t="n">
        <x:v>35</x:v>
      </x:c>
      <x:c r="B41" s="221" t="str">
        <x:v>src/pages/SignupPage.tsx</x:v>
      </x:c>
      <x:c r="C41" s="221" t="str">
        <x:v>Frontend / Páginas</x:v>
      </x:c>
      <x:c r="D41" s="221" t="str">
        <x:v>P2</x:v>
      </x:c>
      <x:c r="E41" s="221" t="str">
        <x:v>Não</x:v>
      </x:c>
      <x:c r="F41" s="221" t="str">
        <x:v>Nenhum teste localizado</x:v>
      </x:c>
      <x:c r="G41" s="180" t="n">
        <x:v>105</x:v>
      </x:c>
      <x:c r="H41" s="180" t="n">
        <x:v>0</x:v>
      </x:c>
      <x:c r="I41" s="222" t="n">
        <x:v>0</x:v>
      </x:c>
      <x:c r="J41" s="222" t="n">
        <x:v>0</x:v>
      </x:c>
      <x:c r="K41" s="222" t="n">
        <x:v>0</x:v>
      </x:c>
      <x:c r="L41" s="179" t="str">
        <x:v>Sem cobertura</x:v>
      </x:c>
      <x:c r="M41" s="221" t="str">
        <x:v>Criar testes unitários ou de componente dedicados.</x:v>
      </x:c>
    </x:row>
    <x:row r="42" ht="15" hidden="0" customHeight="1">
      <x:c r="A42" s="179" t="n">
        <x:v>36</x:v>
      </x:c>
      <x:c r="B42" s="221" t="str">
        <x:v>src/pages/UsersPage.tsx</x:v>
      </x:c>
      <x:c r="C42" s="221" t="str">
        <x:v>Frontend / Páginas</x:v>
      </x:c>
      <x:c r="D42" s="221" t="str">
        <x:v>P1</x:v>
      </x:c>
      <x:c r="E42" s="221" t="str">
        <x:v>Não</x:v>
      </x:c>
      <x:c r="F42" s="221" t="str">
        <x:v>Nenhum teste localizado</x:v>
      </x:c>
      <x:c r="G42" s="180" t="n">
        <x:v>483</x:v>
      </x:c>
      <x:c r="H42" s="180" t="n">
        <x:v>0</x:v>
      </x:c>
      <x:c r="I42" s="222" t="n">
        <x:v>0</x:v>
      </x:c>
      <x:c r="J42" s="222" t="n">
        <x:v>0</x:v>
      </x:c>
      <x:c r="K42" s="222" t="n">
        <x:v>0</x:v>
      </x:c>
      <x:c r="L42" s="179" t="str">
        <x:v>Sem cobertura</x:v>
      </x:c>
      <x:c r="M42" s="221" t="str">
        <x:v>Criar testes unitários ou de componente dedicados.</x:v>
      </x:c>
    </x:row>
    <x:row r="43" ht="15" hidden="0" customHeight="1">
      <x:c r="A43" s="179" t="n">
        <x:v>37</x:v>
      </x:c>
      <x:c r="B43" s="221" t="str">
        <x:v>src/services/checklistCatalogService.ts</x:v>
      </x:c>
      <x:c r="C43" s="221" t="str">
        <x:v>Frontend / Serviços</x:v>
      </x:c>
      <x:c r="D43" s="221" t="str">
        <x:v>P1</x:v>
      </x:c>
      <x:c r="E43" s="221" t="str">
        <x:v>Não</x:v>
      </x:c>
      <x:c r="F43" s="221" t="str">
        <x:v>Nenhum teste localizado</x:v>
      </x:c>
      <x:c r="G43" s="180" t="n">
        <x:v>40</x:v>
      </x:c>
      <x:c r="H43" s="180" t="n">
        <x:v>0</x:v>
      </x:c>
      <x:c r="I43" s="222" t="n">
        <x:v>0</x:v>
      </x:c>
      <x:c r="J43" s="222" t="n">
        <x:v>0</x:v>
      </x:c>
      <x:c r="K43" s="222" t="n">
        <x:v>0</x:v>
      </x:c>
      <x:c r="L43" s="179" t="str">
        <x:v>Sem cobertura</x:v>
      </x:c>
      <x:c r="M43" s="221" t="str">
        <x:v>Criar testes unitários ou de componente dedicados.</x:v>
      </x:c>
    </x:row>
    <x:row r="44" ht="15" hidden="0" customHeight="1">
      <x:c r="A44" s="179" t="n">
        <x:v>38</x:v>
      </x:c>
      <x:c r="B44" s="221" t="str">
        <x:v>src/services/checklistService.ts</x:v>
      </x:c>
      <x:c r="C44" s="221" t="str">
        <x:v>Frontend / Serviços</x:v>
      </x:c>
      <x:c r="D44" s="221" t="str">
        <x:v>P1</x:v>
      </x:c>
      <x:c r="E44" s="221" t="str">
        <x:v>Não</x:v>
      </x:c>
      <x:c r="F44" s="221" t="str">
        <x:v>Nenhum teste localizado</x:v>
      </x:c>
      <x:c r="G44" s="180" t="n">
        <x:v>101</x:v>
      </x:c>
      <x:c r="H44" s="180" t="n">
        <x:v>0</x:v>
      </x:c>
      <x:c r="I44" s="222" t="n">
        <x:v>0</x:v>
      </x:c>
      <x:c r="J44" s="222" t="n">
        <x:v>0</x:v>
      </x:c>
      <x:c r="K44" s="222" t="n">
        <x:v>0</x:v>
      </x:c>
      <x:c r="L44" s="179" t="str">
        <x:v>Sem cobertura</x:v>
      </x:c>
      <x:c r="M44" s="221" t="str">
        <x:v>Criar testes unitários ou de componente dedicados.</x:v>
      </x:c>
    </x:row>
    <x:row r="45" ht="15" hidden="0" customHeight="1">
      <x:c r="A45" s="179" t="n">
        <x:v>39</x:v>
      </x:c>
      <x:c r="B45" s="221" t="str">
        <x:v>src/services/dictionaryService.ts</x:v>
      </x:c>
      <x:c r="C45" s="221" t="str">
        <x:v>Frontend / Serviços</x:v>
      </x:c>
      <x:c r="D45" s="221" t="str">
        <x:v>P1</x:v>
      </x:c>
      <x:c r="E45" s="221" t="str">
        <x:v>Não</x:v>
      </x:c>
      <x:c r="F45" s="221" t="str">
        <x:v>Nenhum teste localizado</x:v>
      </x:c>
      <x:c r="G45" s="180" t="n">
        <x:v>55</x:v>
      </x:c>
      <x:c r="H45" s="180" t="n">
        <x:v>0</x:v>
      </x:c>
      <x:c r="I45" s="222" t="n">
        <x:v>0</x:v>
      </x:c>
      <x:c r="J45" s="222" t="n">
        <x:v>0</x:v>
      </x:c>
      <x:c r="K45" s="222" t="n">
        <x:v>0</x:v>
      </x:c>
      <x:c r="L45" s="179" t="str">
        <x:v>Sem cobertura</x:v>
      </x:c>
      <x:c r="M45" s="221" t="str">
        <x:v>Criar testes unitários ou de componente dedicados.</x:v>
      </x:c>
    </x:row>
    <x:row r="46" ht="15" hidden="0" customHeight="1">
      <x:c r="A46" s="179" t="n">
        <x:v>40</x:v>
      </x:c>
      <x:c r="B46" s="221" t="str">
        <x:v>src/services/jobService.ts</x:v>
      </x:c>
      <x:c r="C46" s="221" t="str">
        <x:v>Frontend / Serviços</x:v>
      </x:c>
      <x:c r="D46" s="221" t="str">
        <x:v>P1</x:v>
      </x:c>
      <x:c r="E46" s="221" t="str">
        <x:v>Não</x:v>
      </x:c>
      <x:c r="F46" s="221" t="str">
        <x:v>Nenhum teste localizado</x:v>
      </x:c>
      <x:c r="G46" s="180" t="n">
        <x:v>76</x:v>
      </x:c>
      <x:c r="H46" s="180" t="n">
        <x:v>0</x:v>
      </x:c>
      <x:c r="I46" s="222" t="n">
        <x:v>0</x:v>
      </x:c>
      <x:c r="J46" s="222" t="n">
        <x:v>0</x:v>
      </x:c>
      <x:c r="K46" s="222" t="n">
        <x:v>0</x:v>
      </x:c>
      <x:c r="L46" s="179" t="str">
        <x:v>Sem cobertura</x:v>
      </x:c>
      <x:c r="M46" s="221" t="str">
        <x:v>Criar testes unitários ou de componente dedicados.</x:v>
      </x:c>
    </x:row>
    <x:row r="47" ht="15" hidden="0" customHeight="1">
      <x:c r="A47" s="179" t="n">
        <x:v>41</x:v>
      </x:c>
      <x:c r="B47" s="221" t="str">
        <x:v>src/services/normService.ts</x:v>
      </x:c>
      <x:c r="C47" s="221" t="str">
        <x:v>Frontend / Serviços</x:v>
      </x:c>
      <x:c r="D47" s="221" t="str">
        <x:v>P1</x:v>
      </x:c>
      <x:c r="E47" s="221" t="str">
        <x:v>Não</x:v>
      </x:c>
      <x:c r="F47" s="221" t="str">
        <x:v>Nenhum teste localizado</x:v>
      </x:c>
      <x:c r="G47" s="180" t="n">
        <x:v>69</x:v>
      </x:c>
      <x:c r="H47" s="180" t="n">
        <x:v>0</x:v>
      </x:c>
      <x:c r="I47" s="222" t="n">
        <x:v>0</x:v>
      </x:c>
      <x:c r="J47" s="222" t="n">
        <x:v>0</x:v>
      </x:c>
      <x:c r="K47" s="222" t="n">
        <x:v>0</x:v>
      </x:c>
      <x:c r="L47" s="179" t="str">
        <x:v>Sem cobertura</x:v>
      </x:c>
      <x:c r="M47" s="221" t="str">
        <x:v>Criar testes unitários ou de componente dedicados.</x:v>
      </x:c>
    </x:row>
    <x:row r="48" ht="15" hidden="0" customHeight="1">
      <x:c r="A48" s="179" t="n">
        <x:v>42</x:v>
      </x:c>
      <x:c r="B48" s="221" t="str">
        <x:v>src/services/systemPromptService.ts</x:v>
      </x:c>
      <x:c r="C48" s="221" t="str">
        <x:v>Frontend / Serviços</x:v>
      </x:c>
      <x:c r="D48" s="221" t="str">
        <x:v>P1</x:v>
      </x:c>
      <x:c r="E48" s="221" t="str">
        <x:v>Não</x:v>
      </x:c>
      <x:c r="F48" s="221" t="str">
        <x:v>Nenhum teste localizado</x:v>
      </x:c>
      <x:c r="G48" s="180" t="n">
        <x:v>21</x:v>
      </x:c>
      <x:c r="H48" s="180" t="n">
        <x:v>0</x:v>
      </x:c>
      <x:c r="I48" s="222" t="n">
        <x:v>0</x:v>
      </x:c>
      <x:c r="J48" s="222" t="n">
        <x:v>0</x:v>
      </x:c>
      <x:c r="K48" s="222" t="n">
        <x:v>0</x:v>
      </x:c>
      <x:c r="L48" s="179" t="str">
        <x:v>Sem cobertura</x:v>
      </x:c>
      <x:c r="M48" s="221" t="str">
        <x:v>Criar testes unitários ou de componente dedicados.</x:v>
      </x:c>
    </x:row>
    <x:row r="49" ht="15" hidden="0" customHeight="1">
      <x:c r="A49" s="179" t="n">
        <x:v>43</x:v>
      </x:c>
      <x:c r="B49" s="221" t="str">
        <x:v>src/types/database.ts</x:v>
      </x:c>
      <x:c r="C49" s="221" t="str">
        <x:v>Frontend / Base</x:v>
      </x:c>
      <x:c r="D49" s="221" t="str">
        <x:v>N/A</x:v>
      </x:c>
      <x:c r="E49" s="221" t="str">
        <x:v>N/A</x:v>
      </x:c>
      <x:c r="F49" s="221" t="str">
        <x:v>Nenhum teste localizado</x:v>
      </x:c>
      <x:c r="G49" s="180" t="n">
        <x:v>211</x:v>
      </x:c>
      <x:c r="H49" s="180" t="n">
        <x:v>0</x:v>
      </x:c>
      <x:c r="I49" s="222" t="n">
        <x:v>0</x:v>
      </x:c>
      <x:c r="J49" s="222" t="n">
        <x:v>0</x:v>
      </x:c>
      <x:c r="K49" s="222" t="n">
        <x:v>0</x:v>
      </x:c>
      <x:c r="L49" s="179" t="str">
        <x:v>Não aplicável</x:v>
      </x:c>
      <x:c r="M49" s="221" t="str">
        <x:v>Arquivo declarativo; validar por compilação/type-check.</x:v>
      </x:c>
    </x:row>
    <x:row r="50" ht="15" hidden="0" customHeight="1">
      <x:c r="A50" s="179" t="n">
        <x:v>44</x:v>
      </x:c>
      <x:c r="B50" s="221" t="str">
        <x:v>src/utils/commandBuilder.ts</x:v>
      </x:c>
      <x:c r="C50" s="221" t="str">
        <x:v>Frontend / Utilitários</x:v>
      </x:c>
      <x:c r="D50" s="221" t="str">
        <x:v>P1</x:v>
      </x:c>
      <x:c r="E50" s="221" t="str">
        <x:v>Sim</x:v>
      </x:c>
      <x:c r="F50" s="221" t="str">
        <x:v>src/utils/commandBuilder.test.ts</x:v>
      </x:c>
      <x:c r="G50" s="180" t="n">
        <x:v>46</x:v>
      </x:c>
      <x:c r="H50" s="180" t="n">
        <x:v>46</x:v>
      </x:c>
      <x:c r="I50" s="222" t="n">
        <x:v>1</x:v>
      </x:c>
      <x:c r="J50" s="222" t="n">
        <x:v>1</x:v>
      </x:c>
      <x:c r="K50" s="222" t="n">
        <x:v>1</x:v>
      </x:c>
      <x:c r="L50" s="179" t="str">
        <x:v>Coberto</x:v>
      </x:c>
      <x:c r="M50" s="221" t="str">
        <x:v>Manter suíte e cobrir branches remanescentes.</x:v>
      </x:c>
    </x:row>
    <x:row r="51" ht="15" hidden="0" customHeight="1">
      <x:c r="A51" s="179" t="n">
        <x:v>45</x:v>
      </x:c>
      <x:c r="B51" s="221" t="str">
        <x:v>src/utils/pdfGenerator.ts</x:v>
      </x:c>
      <x:c r="C51" s="221" t="str">
        <x:v>Frontend / Utilitários</x:v>
      </x:c>
      <x:c r="D51" s="221" t="str">
        <x:v>P0</x:v>
      </x:c>
      <x:c r="E51" s="221" t="str">
        <x:v>Não</x:v>
      </x:c>
      <x:c r="F51" s="221" t="str">
        <x:v>Nenhum teste localizado</x:v>
      </x:c>
      <x:c r="G51" s="180" t="n">
        <x:v>220</x:v>
      </x:c>
      <x:c r="H51" s="180" t="n">
        <x:v>0</x:v>
      </x:c>
      <x:c r="I51" s="222" t="n">
        <x:v>0</x:v>
      </x:c>
      <x:c r="J51" s="222" t="n">
        <x:v>0</x:v>
      </x:c>
      <x:c r="K51" s="222" t="n">
        <x:v>0</x:v>
      </x:c>
      <x:c r="L51" s="179" t="str">
        <x:v>Sem cobertura</x:v>
      </x:c>
      <x:c r="M51" s="221" t="str">
        <x:v>Criar testes unitários ou de componente dedicados.</x:v>
      </x:c>
    </x:row>
    <x:row r="52" ht="15" hidden="0" customHeight="1">
      <x:c r="A52" s="179" t="n">
        <x:v>46</x:v>
      </x:c>
      <x:c r="B52" s="221" t="str">
        <x:v>src/utils/validationPresentation.ts</x:v>
      </x:c>
      <x:c r="C52" s="221" t="str">
        <x:v>Frontend / Utilitários</x:v>
      </x:c>
      <x:c r="D52" s="221" t="str">
        <x:v>P1</x:v>
      </x:c>
      <x:c r="E52" s="221" t="str">
        <x:v>Sim</x:v>
      </x:c>
      <x:c r="F52" s="221" t="str">
        <x:v>src/utils/validationPresentation.test.ts</x:v>
      </x:c>
      <x:c r="G52" s="180" t="n">
        <x:v>23</x:v>
      </x:c>
      <x:c r="H52" s="180" t="n">
        <x:v>22</x:v>
      </x:c>
      <x:c r="I52" s="222" t="n">
        <x:v>0.9565</x:v>
      </x:c>
      <x:c r="J52" s="222" t="n">
        <x:v>0.6666</x:v>
      </x:c>
      <x:c r="K52" s="222" t="n">
        <x:v>1</x:v>
      </x:c>
      <x:c r="L52" s="179" t="str">
        <x:v>Coberto</x:v>
      </x:c>
      <x:c r="M52" s="221" t="str">
        <x:v>Manter suíte e cobrir branches remanescentes.</x:v>
      </x:c>
    </x:row>
  </x:sheetData>
  <x:mergeCells>
    <x:mergeCell ref="A1:M2"/>
    <x:mergeCell ref="A3:M3"/>
  </x:mergeCells>
  <x:conditionalFormatting sqref="L7:L52">
    <x:cfRule type="containsText" dxfId="0" priority="1" operator="containsText" text="Coberto"/>
    <x:cfRule type="containsText" dxfId="1" priority="2" operator="containsText" text="Parcial"/>
    <x:cfRule type="containsText" dxfId="2" priority="3" operator="containsText" text="Sem cobertura"/>
    <x:cfRule type="containsText" dxfId="3" priority="4" operator="containsText" text="Não aplicável"/>
  </x:conditionalFormatting>
  <x:conditionalFormatting sqref="D7:D52">
    <x:cfRule type="containsText" dxfId="4" priority="5" operator="containsText" text="P0"/>
    <x:cfRule type="containsText" dxfId="5" priority="6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bc4f7668ffcd4a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42" hidden="0" customWidth="1"/>
    <x:col min="4" max="4" width="64" hidden="0" customWidth="1"/>
    <x:col min="5" max="5" width="16" hidden="0" customWidth="1"/>
    <x:col min="6" max="6" width="27" hidden="0" customWidth="1"/>
  </x:cols>
  <x:sheetData>
    <x:row r="1" ht="30" customHeight="1">
      <x:c r="A1" s="225" t="str">
        <x:v>Cenários de Teste Localizados</x:v>
      </x:c>
      <x:c r="B1" s="225" t="str">
        <x:v>Cenários de Teste Localizados</x:v>
      </x:c>
      <x:c r="C1" s="225" t="str">
        <x:v>Cenários de Teste Localizados</x:v>
      </x:c>
      <x:c r="D1" s="225" t="str">
        <x:v>Cenários de Teste Localizados</x:v>
      </x:c>
      <x:c r="E1" s="225" t="str">
        <x:v>Cenários de Teste Localizados</x:v>
      </x:c>
      <x:c r="F1" s="225" t="str">
        <x:v>Cenários de Teste Localizados</x:v>
      </x:c>
      <x:c r="G1" s="227"/>
      <x:c r="H1" s="227"/>
      <x:c r="I1" s="227"/>
      <x:c r="J1" s="227"/>
      <x:c r="K1" s="227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  <x:c r="W1" s="227"/>
      <x:c r="X1" s="227"/>
      <x:c r="Y1" s="227"/>
      <x:c r="Z1" s="227"/>
    </x:row>
    <x:row r="2" ht="30" customHeight="1">
      <x:c r="A2" s="225" t="str">
        <x:v>Cenários de Teste Localizados</x:v>
      </x:c>
      <x:c r="B2" s="225" t="str">
        <x:v>Cenários de Teste Localizados</x:v>
      </x:c>
      <x:c r="C2" s="225" t="str">
        <x:v>Cenários de Teste Localizados</x:v>
      </x:c>
      <x:c r="D2" s="225" t="str">
        <x:v>Cenários de Teste Localizados</x:v>
      </x:c>
      <x:c r="E2" s="225" t="str">
        <x:v>Cenários de Teste Localizados</x:v>
      </x:c>
      <x:c r="F2" s="225" t="str">
        <x:v>Cenários de Teste Localizados</x:v>
      </x:c>
      <x:c r="G2" s="227"/>
      <x:c r="H2" s="227"/>
      <x:c r="I2" s="227"/>
      <x:c r="J2" s="227"/>
      <x:c r="K2" s="227"/>
      <x:c r="L2" s="227"/>
      <x:c r="M2" s="227"/>
      <x:c r="N2" s="227"/>
      <x:c r="O2" s="227"/>
      <x:c r="P2" s="227"/>
      <x:c r="Q2" s="227"/>
      <x:c r="R2" s="227"/>
      <x:c r="S2" s="227"/>
      <x:c r="T2" s="227"/>
      <x:c r="U2" s="227"/>
      <x:c r="V2" s="227"/>
      <x:c r="W2" s="227"/>
      <x:c r="X2" s="227"/>
      <x:c r="Y2" s="227"/>
      <x:c r="Z2" s="227"/>
    </x:row>
    <x:row r="3" ht="15" hidden="0" customHeight="1">
      <x:c r="A3" s="181" t="str">
        <x:v>A aba inclui testes unitários e de integração presentes no repositório. Apenas os arquivos listados em test:unit foram executados nesta auditoria.</x:v>
      </x:c>
      <x:c r="B3" s="181" t="str">
        <x:v>A aba inclui testes unitários e de integração presentes no repositório. Apenas os arquivos listados em test:unit foram executados nesta auditoria.</x:v>
      </x:c>
      <x:c r="C3" s="181" t="str">
        <x:v>A aba inclui testes unitários e de integração presentes no repositório. Apenas os arquivos listados em test:unit foram executados nesta auditoria.</x:v>
      </x:c>
      <x:c r="D3" s="181" t="str">
        <x:v>A aba inclui testes unitários e de integração presentes no repositório. Apenas os arquivos listados em test:unit foram executados nesta auditoria.</x:v>
      </x:c>
      <x:c r="E3" s="181" t="str">
        <x:v>A aba inclui testes unitários e de integração presentes no repositório. Apenas os arquivos listados em test:unit foram executados nesta auditoria.</x:v>
      </x:c>
      <x:c r="F3" s="181" t="str">
        <x:v>A aba inclui testes unitários e de integração presentes no repositório. Apenas os arquivos listados em test:unit foram executados nesta auditoria.</x:v>
      </x:c>
    </x:row>
    <x:row r="4" ht="15" hidden="0" customHeight="1">
      <x:c r="A4" s="179"/>
      <x:c r="B4" s="179"/>
      <x:c r="C4" s="179"/>
      <x:c r="D4" s="179"/>
      <x:c r="E4" s="179"/>
      <x:c r="F4" s="179"/>
    </x:row>
    <x:row r="5" ht="15" hidden="0" customHeight="1">
      <x:c r="A5" s="179"/>
      <x:c r="B5" s="179"/>
      <x:c r="C5" s="179"/>
      <x:c r="D5" s="179"/>
      <x:c r="E5" s="179"/>
      <x:c r="F5" s="179"/>
    </x:row>
    <x:row r="6" ht="15" hidden="0" customHeight="1">
      <x:c r="A6" s="198" t="str">
        <x:v>ID</x:v>
      </x:c>
      <x:c r="B6" s="199" t="str">
        <x:v>Tipo</x:v>
      </x:c>
      <x:c r="C6" s="199" t="str">
        <x:v>Arquivo de teste</x:v>
      </x:c>
      <x:c r="D6" s="199" t="str">
        <x:v>Cenário</x:v>
      </x:c>
      <x:c r="E6" s="199" t="str">
        <x:v>Na suíte unitária?</x:v>
      </x:c>
      <x:c r="F6" s="200" t="str">
        <x:v>Resultado nesta auditoria</x:v>
      </x:c>
    </x:row>
    <x:row r="7" ht="15" hidden="0" customHeight="1">
      <x:c r="A7" s="179" t="n">
        <x:v>1</x:v>
      </x:c>
      <x:c r="B7" s="221" t="str">
        <x:v>Integração</x:v>
      </x:c>
      <x:c r="C7" s="221" t="str">
        <x:v>server/tests/auth_cycle.test.ts</x:v>
      </x:c>
      <x:c r="D7" s="221" t="str">
        <x:v>POST /api/auth/login - Sucesso e dados completos</x:v>
      </x:c>
      <x:c r="E7" s="221" t="str">
        <x:v>Não</x:v>
      </x:c>
      <x:c r="F7" s="221" t="str">
        <x:v>Não executado nesta auditoria</x:v>
      </x:c>
    </x:row>
    <x:row r="8" ht="15" hidden="0" customHeight="1">
      <x:c r="A8" s="179" t="n">
        <x:v>2</x:v>
      </x:c>
      <x:c r="B8" s="221" t="str">
        <x:v>Integração</x:v>
      </x:c>
      <x:c r="C8" s="221" t="str">
        <x:v>server/tests/auth_cycle.test.ts</x:v>
      </x:c>
      <x:c r="D8" s="221" t="str">
        <x:v>POST /api/auth/login - Usuário inativo deve falhar</x:v>
      </x:c>
      <x:c r="E8" s="221" t="str">
        <x:v>Não</x:v>
      </x:c>
      <x:c r="F8" s="221" t="str">
        <x:v>Não executado nesta auditoria</x:v>
      </x:c>
    </x:row>
    <x:row r="9" ht="15" hidden="0" customHeight="1">
      <x:c r="A9" s="179" t="n">
        <x:v>3</x:v>
      </x:c>
      <x:c r="B9" s="221" t="str">
        <x:v>Integração</x:v>
      </x:c>
      <x:c r="C9" s="221" t="str">
        <x:v>server/tests/auth_cycle.test.ts</x:v>
      </x:c>
      <x:c r="D9" s="221" t="str">
        <x:v>GET /api/auth/me - Perfil com token válido</x:v>
      </x:c>
      <x:c r="E9" s="221" t="str">
        <x:v>Não</x:v>
      </x:c>
      <x:c r="F9" s="221" t="str">
        <x:v>Não executado nesta auditoria</x:v>
      </x:c>
    </x:row>
    <x:row r="10" ht="15" hidden="0" customHeight="1">
      <x:c r="A10" s="179" t="n">
        <x:v>4</x:v>
      </x:c>
      <x:c r="B10" s="221" t="str">
        <x:v>Integração</x:v>
      </x:c>
      <x:c r="C10" s="221" t="str">
        <x:v>server/tests/auth_cycle.test.ts</x:v>
      </x:c>
      <x:c r="D10" s="221" t="str">
        <x:v>GET /api/auth/me - Token inválido deve retornar 401</x:v>
      </x:c>
      <x:c r="E10" s="221" t="str">
        <x:v>Não</x:v>
      </x:c>
      <x:c r="F10" s="221" t="str">
        <x:v>Não executado nesta auditoria</x:v>
      </x:c>
    </x:row>
    <x:row r="11" ht="15" hidden="0" customHeight="1">
      <x:c r="A11" s="179" t="n">
        <x:v>5</x:v>
      </x:c>
      <x:c r="B11" s="221" t="str">
        <x:v>Integração</x:v>
      </x:c>
      <x:c r="C11" s="221" t="str">
        <x:v>server/tests/auth_cycle.test.ts</x:v>
      </x:c>
      <x:c r="D11" s="221" t="str">
        <x:v>POST /api/auth/refresh e POST /api/auth/logout - Fluxo completo de tokens</x:v>
      </x:c>
      <x:c r="E11" s="221" t="str">
        <x:v>Não</x:v>
      </x:c>
      <x:c r="F11" s="221" t="str">
        <x:v>Não executado nesta auditoria</x:v>
      </x:c>
    </x:row>
    <x:row r="12" ht="15" hidden="0" customHeight="1">
      <x:c r="A12" s="179" t="n">
        <x:v>6</x:v>
      </x:c>
      <x:c r="B12" s="221" t="str">
        <x:v>Integração</x:v>
      </x:c>
      <x:c r="C12" s="221" t="str">
        <x:v>server/tests/auth_cycle.test.ts</x:v>
      </x:c>
      <x:c r="D12" s="221" t="str">
        <x:v>POST /api/users - Criação transacional e rollback sob erro</x:v>
      </x:c>
      <x:c r="E12" s="221" t="str">
        <x:v>Não</x:v>
      </x:c>
      <x:c r="F12" s="221" t="str">
        <x:v>Não executado nesta auditoria</x:v>
      </x:c>
    </x:row>
    <x:row r="13" ht="15" hidden="0" customHeight="1">
      <x:c r="A13" s="179" t="n">
        <x:v>7</x:v>
      </x:c>
      <x:c r="B13" s="221" t="str">
        <x:v>Integração</x:v>
      </x:c>
      <x:c r="C13" s="221" t="str">
        <x:v>server/tests/chat_persistence.test.ts</x:v>
      </x:c>
      <x:c r="D13" s="221" t="str">
        <x:v>Fluxo de conversas e mensagens do chat</x:v>
      </x:c>
      <x:c r="E13" s="221" t="str">
        <x:v>Não</x:v>
      </x:c>
      <x:c r="F13" s="221" t="str">
        <x:v>Não executado nesta auditoria</x:v>
      </x:c>
    </x:row>
    <x:row r="14" ht="15" hidden="0" customHeight="1">
      <x:c r="A14" s="179" t="n">
        <x:v>8</x:v>
      </x:c>
      <x:c r="B14" s="221" t="str">
        <x:v>Integração</x:v>
      </x:c>
      <x:c r="C14" s="221" t="str">
        <x:v>server/tests/chat_persistence.test.ts</x:v>
      </x:c>
      <x:c r="D14" s="221" t="str">
        <x:v>Deve criar uma nova conversa via POST /api/ai/conversations</x:v>
      </x:c>
      <x:c r="E14" s="221" t="str">
        <x:v>Não</x:v>
      </x:c>
      <x:c r="F14" s="221" t="str">
        <x:v>Não executado nesta auditoria</x:v>
      </x:c>
    </x:row>
    <x:row r="15" ht="15" hidden="0" customHeight="1">
      <x:c r="A15" s="179" t="n">
        <x:v>9</x:v>
      </x:c>
      <x:c r="B15" s="221" t="str">
        <x:v>Integração</x:v>
      </x:c>
      <x:c r="C15" s="221" t="str">
        <x:v>server/tests/chat_persistence.test.ts</x:v>
      </x:c>
      <x:c r="D15" s="221" t="str">
        <x:v>Deve listar as conversas do usuário logado via GET /api/ai/conversations</x:v>
      </x:c>
      <x:c r="E15" s="221" t="str">
        <x:v>Não</x:v>
      </x:c>
      <x:c r="F15" s="221" t="str">
        <x:v>Não executado nesta auditoria</x:v>
      </x:c>
    </x:row>
    <x:row r="16" ht="15" hidden="0" customHeight="1">
      <x:c r="A16" s="179" t="n">
        <x:v>10</x:v>
      </x:c>
      <x:c r="B16" s="221" t="str">
        <x:v>Integração</x:v>
      </x:c>
      <x:c r="C16" s="221" t="str">
        <x:v>server/tests/chat_persistence.test.ts</x:v>
      </x:c>
      <x:c r="D16" s="221" t="str">
        <x:v>Não deve listar conversas de outros usuários</x:v>
      </x:c>
      <x:c r="E16" s="221" t="str">
        <x:v>Não</x:v>
      </x:c>
      <x:c r="F16" s="221" t="str">
        <x:v>Não executado nesta auditoria</x:v>
      </x:c>
    </x:row>
    <x:row r="17" ht="15" hidden="0" customHeight="1">
      <x:c r="A17" s="179" t="n">
        <x:v>11</x:v>
      </x:c>
      <x:c r="B17" s="221" t="str">
        <x:v>Integração</x:v>
      </x:c>
      <x:c r="C17" s="221" t="str">
        <x:v>server/tests/chat_persistence.test.ts</x:v>
      </x:c>
      <x:c r="D17" s="221" t="str">
        <x:v>Deve permitir enviar uma mensagem via /chat e persistir na conversa</x:v>
      </x:c>
      <x:c r="E17" s="221" t="str">
        <x:v>Não</x:v>
      </x:c>
      <x:c r="F17" s="221" t="str">
        <x:v>Não executado nesta auditoria</x:v>
      </x:c>
    </x:row>
    <x:row r="18" ht="15" hidden="0" customHeight="1">
      <x:c r="A18" s="179" t="n">
        <x:v>12</x:v>
      </x:c>
      <x:c r="B18" s="221" t="str">
        <x:v>Integração</x:v>
      </x:c>
      <x:c r="C18" s="221" t="str">
        <x:v>server/tests/chat_persistence.test.ts</x:v>
      </x:c>
      <x:c r="D18" s="221" t="str">
        <x:v>Deve recuperar as mensagens da conversa pelo ID correto</x:v>
      </x:c>
      <x:c r="E18" s="221" t="str">
        <x:v>Não</x:v>
      </x:c>
      <x:c r="F18" s="221" t="str">
        <x:v>Não executado nesta auditoria</x:v>
      </x:c>
    </x:row>
    <x:row r="19" ht="15" hidden="0" customHeight="1">
      <x:c r="A19" s="179" t="n">
        <x:v>13</x:v>
      </x:c>
      <x:c r="B19" s="221" t="str">
        <x:v>Integração</x:v>
      </x:c>
      <x:c r="C19" s="221" t="str">
        <x:v>server/tests/chat_persistence.test.ts</x:v>
      </x:c>
      <x:c r="D19" s="221" t="str">
        <x:v>Não deve permitir que outro usuário veja as mensagens da conversa alheia</x:v>
      </x:c>
      <x:c r="E19" s="221" t="str">
        <x:v>Não</x:v>
      </x:c>
      <x:c r="F19" s="221" t="str">
        <x:v>Não executado nesta auditoria</x:v>
      </x:c>
    </x:row>
    <x:row r="20" ht="15" hidden="0" customHeight="1">
      <x:c r="A20" s="179" t="n">
        <x:v>14</x:v>
      </x:c>
      <x:c r="B20" s="221" t="str">
        <x:v>Unitário</x:v>
      </x:c>
      <x:c r="C20" s="221" t="str">
        <x:v>server/tests/checklist_schema_v2.test.ts</x:v>
      </x:c>
      <x:c r="D20" s="221" t="str">
        <x:v>schema v1 continua compatível para proposta de um job</x:v>
      </x:c>
      <x:c r="E20" s="221" t="str">
        <x:v>Sim</x:v>
      </x:c>
      <x:c r="F20" s="221" t="str">
        <x:v>Aprovado</x:v>
      </x:c>
    </x:row>
    <x:row r="21" ht="15" hidden="0" customHeight="1">
      <x:c r="A21" s="179" t="n">
        <x:v>15</x:v>
      </x:c>
      <x:c r="B21" s="221" t="str">
        <x:v>Unitário</x:v>
      </x:c>
      <x:c r="C21" s="221" t="str">
        <x:v>server/tests/checklist_schema_v2.test.ts</x:v>
      </x:c>
      <x:c r="D21" s="221" t="str">
        <x:v>schema v2 normaliza servidor compartilhado e agenda recorrente</x:v>
      </x:c>
      <x:c r="E21" s="221" t="str">
        <x:v>Sim</x:v>
      </x:c>
      <x:c r="F21" s="221" t="str">
        <x:v>Aprovado</x:v>
      </x:c>
    </x:row>
    <x:row r="22" ht="15" hidden="0" customHeight="1">
      <x:c r="A22" s="179" t="n">
        <x:v>16</x:v>
      </x:c>
      <x:c r="B22" s="221" t="str">
        <x:v>Unitário</x:v>
      </x:c>
      <x:c r="C22" s="221" t="str">
        <x:v>server/tests/checklist_schema_v2.test.ts</x:v>
      </x:c>
      <x:c r="D22" s="221" t="str">
        <x:v>schema v2 exige responsável, servidor compartilhado e ordem contínua</x:v>
      </x:c>
      <x:c r="E22" s="221" t="str">
        <x:v>Sim</x:v>
      </x:c>
      <x:c r="F22" s="221" t="str">
        <x:v>Aprovado</x:v>
      </x:c>
    </x:row>
    <x:row r="23" ht="15" hidden="0" customHeight="1">
      <x:c r="A23" s="179" t="n">
        <x:v>17</x:v>
      </x:c>
      <x:c r="B23" s="221" t="str">
        <x:v>Unitário</x:v>
      </x:c>
      <x:c r="C23" s="221" t="str">
        <x:v>server/tests/checklist_schema_v2.test.ts</x:v>
      </x:c>
      <x:c r="D23" s="221" t="str">
        <x:v>normalizador aceita data/hora e recorrência sem inventar gramática corporativa</x:v>
      </x:c>
      <x:c r="E23" s="221" t="str">
        <x:v>Sim</x:v>
      </x:c>
      <x:c r="F23" s="221" t="str">
        <x:v>Aprovado</x:v>
      </x:c>
    </x:row>
    <x:row r="24" ht="15" hidden="0" customHeight="1">
      <x:c r="A24" s="179" t="n">
        <x:v>18</x:v>
      </x:c>
      <x:c r="B24" s="221" t="str">
        <x:v>Unitário</x:v>
      </x:c>
      <x:c r="C24" s="221" t="str">
        <x:v>server/tests/checklist_schema_v2.test.ts</x:v>
      </x:c>
      <x:c r="D24" s="221" t="str">
        <x:v>validador de Application usa sugestão somente da regra publicada</x:v>
      </x:c>
      <x:c r="E24" s="221" t="str">
        <x:v>Sim</x:v>
      </x:c>
      <x:c r="F24" s="221" t="str">
        <x:v>Aprovado</x:v>
      </x:c>
    </x:row>
    <x:row r="25" ht="15" hidden="0" customHeight="1">
      <x:c r="A25" s="179" t="n">
        <x:v>19</x:v>
      </x:c>
      <x:c r="B25" s="221" t="str">
        <x:v>Integração</x:v>
      </x:c>
      <x:c r="C25" s="221" t="str">
        <x:v>server/tests/checklist_security.test.ts</x:v>
      </x:c>
      <x:c r="D25" s="221" t="str">
        <x:v>Segurança Checklist - Sucesso na Criação Estruturada</x:v>
      </x:c>
      <x:c r="E25" s="221" t="str">
        <x:v>Não</x:v>
      </x:c>
      <x:c r="F25" s="221" t="str">
        <x:v>Não executado nesta auditoria</x:v>
      </x:c>
    </x:row>
    <x:row r="26" ht="15" hidden="0" customHeight="1">
      <x:c r="A26" s="179" t="n">
        <x:v>20</x:v>
      </x:c>
      <x:c r="B26" s="221" t="str">
        <x:v>Integração</x:v>
      </x:c>
      <x:c r="C26" s="221" t="str">
        <x:v>server/tests/checklist_security.test.ts</x:v>
      </x:c>
      <x:c r="D26" s="221" t="str">
        <x:v>Segurança Checklist - Falha de Validação Estruturada</x:v>
      </x:c>
      <x:c r="E26" s="221" t="str">
        <x:v>Não</x:v>
      </x:c>
      <x:c r="F26" s="221" t="str">
        <x:v>Não executado nesta auditoria</x:v>
      </x:c>
    </x:row>
    <x:row r="27" ht="15" hidden="0" customHeight="1">
      <x:c r="A27" s="179" t="n">
        <x:v>21</x:v>
      </x:c>
      <x:c r="B27" s="221" t="str">
        <x:v>Integração</x:v>
      </x:c>
      <x:c r="C27" s="221" t="str">
        <x:v>server/tests/checklist_security.test.ts</x:v>
      </x:c>
      <x:c r="D27" s="221" t="str">
        <x:v>Segurança Checklist - Idempotência (Duplicidade)</x:v>
      </x:c>
      <x:c r="E27" s="221" t="str">
        <x:v>Não</x:v>
      </x:c>
      <x:c r="F27" s="221" t="str">
        <x:v>Não executado nesta auditoria</x:v>
      </x:c>
    </x:row>
    <x:row r="28" ht="15" hidden="0" customHeight="1">
      <x:c r="A28" s="179" t="n">
        <x:v>22</x:v>
      </x:c>
      <x:c r="B28" s="221" t="str">
        <x:v>Integração</x:v>
      </x:c>
      <x:c r="C28" s="221" t="str">
        <x:v>server/tests/checklist_security.test.ts</x:v>
      </x:c>
      <x:c r="D28" s="221" t="str">
        <x:v>Segurança Checklist - Validação de Schema (Erro Controlado)</x:v>
      </x:c>
      <x:c r="E28" s="221" t="str">
        <x:v>Não</x:v>
      </x:c>
      <x:c r="F28" s="221" t="str">
        <x:v>Não executado nesta auditoria</x:v>
      </x:c>
    </x:row>
    <x:row r="29" ht="15" hidden="0" customHeight="1">
      <x:c r="A29" s="179" t="n">
        <x:v>23</x:v>
      </x:c>
      <x:c r="B29" s="221" t="str">
        <x:v>Integração</x:v>
      </x:c>
      <x:c r="C29" s="221" t="str">
        <x:v>server/tests/checklist_security.test.ts</x:v>
      </x:c>
      <x:c r="D29" s="221" t="str">
        <x:v>Segurança Checklist - Retry com Nova Chave</x:v>
      </x:c>
      <x:c r="E29" s="221" t="str">
        <x:v>Não</x:v>
      </x:c>
      <x:c r="F29" s="221" t="str">
        <x:v>Não executado nesta auditoria</x:v>
      </x:c>
    </x:row>
    <x:row r="30" ht="15" hidden="0" customHeight="1">
      <x:c r="A30" s="179" t="n">
        <x:v>24</x:v>
      </x:c>
      <x:c r="B30" s="221" t="str">
        <x:v>Unitário</x:v>
      </x:c>
      <x:c r="C30" s="221" t="str">
        <x:v>server/tests/critical_routes.unit.test.ts</x:v>
      </x:c>
      <x:c r="D30" s="221" t="str">
        <x:v>Application v2 exige autenticação antes de validar o payload</x:v>
      </x:c>
      <x:c r="E30" s="221" t="str">
        <x:v>Sim</x:v>
      </x:c>
      <x:c r="F30" s="221" t="str">
        <x:v>Aprovado</x:v>
      </x:c>
    </x:row>
    <x:row r="31" ht="15" hidden="0" customHeight="1">
      <x:c r="A31" s="179" t="n">
        <x:v>25</x:v>
      </x:c>
      <x:c r="B31" s="221" t="str">
        <x:v>Unitário</x:v>
      </x:c>
      <x:c r="C31" s="221" t="str">
        <x:v>server/tests/critical_routes.unit.test.ts</x:v>
      </x:c>
      <x:c r="D31" s="221" t="str">
        <x:v>Application v2 retorna 422 para payload autenticado inválido sem consultar domínio</x:v>
      </x:c>
      <x:c r="E31" s="221" t="str">
        <x:v>Sim</x:v>
      </x:c>
      <x:c r="F31" s="221" t="str">
        <x:v>Aprovado</x:v>
      </x:c>
    </x:row>
    <x:row r="32" ht="15" hidden="0" customHeight="1">
      <x:c r="A32" s="179" t="n">
        <x:v>26</x:v>
      </x:c>
      <x:c r="B32" s="221" t="str">
        <x:v>Unitário</x:v>
      </x:c>
      <x:c r="C32" s="221" t="str">
        <x:v>server/tests/critical_routes.unit.test.ts</x:v>
      </x:c>
      <x:c r="D32" s="221" t="str">
        <x:v>Application v2 respeita idempotência antes de reprocessar o checklist</x:v>
      </x:c>
      <x:c r="E32" s="221" t="str">
        <x:v>Sim</x:v>
      </x:c>
      <x:c r="F32" s="221" t="str">
        <x:v>Aprovado</x:v>
      </x:c>
    </x:row>
    <x:row r="33" ht="15" hidden="0" customHeight="1">
      <x:c r="A33" s="179" t="n">
        <x:v>27</x:v>
      </x:c>
      <x:c r="B33" s="221" t="str">
        <x:v>Unitário</x:v>
      </x:c>
      <x:c r="C33" s="221" t="str">
        <x:v>server/tests/critical_routes.unit.test.ts</x:v>
      </x:c>
      <x:c r="D33" s="221" t="str">
        <x:v>Catálogo rejeita filtro kind inválido antes de consultar o banco</x:v>
      </x:c>
      <x:c r="E33" s="221" t="str">
        <x:v>Sim</x:v>
      </x:c>
      <x:c r="F33" s="221" t="str">
        <x:v>Aprovado</x:v>
      </x:c>
    </x:row>
    <x:row r="34" ht="15" hidden="0" customHeight="1">
      <x:c r="A34" s="179" t="n">
        <x:v>28</x:v>
      </x:c>
      <x:c r="B34" s="221" t="str">
        <x:v>Unitário</x:v>
      </x:c>
      <x:c r="C34" s="221" t="str">
        <x:v>server/tests/critical_routes.unit.test.ts</x:v>
      </x:c>
      <x:c r="D34" s="221" t="str">
        <x:v>Importação de catálogo exige ao menos um item</x:v>
      </x:c>
      <x:c r="E34" s="221" t="str">
        <x:v>Sim</x:v>
      </x:c>
      <x:c r="F34" s="221" t="str">
        <x:v>Aprovado</x:v>
      </x:c>
    </x:row>
    <x:row r="35" ht="15" hidden="0" customHeight="1">
      <x:c r="A35" s="179" t="n">
        <x:v>29</x:v>
      </x:c>
      <x:c r="B35" s="221" t="str">
        <x:v>Unitário</x:v>
      </x:c>
      <x:c r="C35" s="221" t="str">
        <x:v>server/tests/critical_routes.unit.test.ts</x:v>
      </x:c>
      <x:c r="D35" s="221" t="str">
        <x:v>Importação de regras de Application rejeita regex inválida e código duplicado</x:v>
      </x:c>
      <x:c r="E35" s="221" t="str">
        <x:v>Sim</x:v>
      </x:c>
      <x:c r="F35" s="221" t="str">
        <x:v>Aprovado</x:v>
      </x:c>
    </x:row>
    <x:row r="36" ht="15" hidden="0" customHeight="1">
      <x:c r="A36" s="179" t="n">
        <x:v>30</x:v>
      </x:c>
      <x:c r="B36" s="221" t="str">
        <x:v>Unitário</x:v>
      </x:c>
      <x:c r="C36" s="221" t="str">
        <x:v>server/tests/critical_routes.unit.test.ts</x:v>
      </x:c>
      <x:c r="D36" s="221" t="str">
        <x:v>Dicionário bloqueia criação por SOLICITANTE</x:v>
      </x:c>
      <x:c r="E36" s="221" t="str">
        <x:v>Sim</x:v>
      </x:c>
      <x:c r="F36" s="221" t="str">
        <x:v>Aprovado</x:v>
      </x:c>
    </x:row>
    <x:row r="37" ht="15" hidden="0" customHeight="1">
      <x:c r="A37" s="179" t="n">
        <x:v>31</x:v>
      </x:c>
      <x:c r="B37" s="221" t="str">
        <x:v>Unitário</x:v>
      </x:c>
      <x:c r="C37" s="221" t="str">
        <x:v>server/tests/critical_routes.unit.test.ts</x:v>
      </x:c>
      <x:c r="D37" s="221" t="str">
        <x:v>Dicionário valida campos obrigatórios antes de persistir</x:v>
      </x:c>
      <x:c r="E37" s="221" t="str">
        <x:v>Sim</x:v>
      </x:c>
      <x:c r="F37" s="221" t="str">
        <x:v>Aprovado</x:v>
      </x:c>
    </x:row>
    <x:row r="38" ht="15" hidden="0" customHeight="1">
      <x:c r="A38" s="179" t="n">
        <x:v>32</x:v>
      </x:c>
      <x:c r="B38" s="221" t="str">
        <x:v>Unitário</x:v>
      </x:c>
      <x:c r="C38" s="221" t="str">
        <x:v>server/tests/critical_routes.unit.test.ts</x:v>
      </x:c>
      <x:c r="D38" s="221" t="str">
        <x:v>Dicionário rejeita atualização vazia antes de consultar o termo</x:v>
      </x:c>
      <x:c r="E38" s="221" t="str">
        <x:v>Sim</x:v>
      </x:c>
      <x:c r="F38" s="221" t="str">
        <x:v>Aprovado</x:v>
      </x:c>
    </x:row>
    <x:row r="39" ht="15" hidden="0" customHeight="1">
      <x:c r="A39" s="179" t="n">
        <x:v>33</x:v>
      </x:c>
      <x:c r="B39" s="221" t="str">
        <x:v>Unitário</x:v>
      </x:c>
      <x:c r="C39" s="221" t="str">
        <x:v>server/tests/critical_routes.unit.test.ts</x:v>
      </x:c>
      <x:c r="D39" s="221" t="str">
        <x:v>Publicação inexistente encerra a transação antes de liberar a conexão</x:v>
      </x:c>
      <x:c r="E39" s="221" t="str">
        <x:v>Sim</x:v>
      </x:c>
      <x:c r="F39" s="221" t="str">
        <x:v>Aprovado</x:v>
      </x:c>
    </x:row>
    <x:row r="40" ht="15" hidden="0" customHeight="1">
      <x:c r="A40" s="179" t="n">
        <x:v>34</x:v>
      </x:c>
      <x:c r="B40" s="221" t="str">
        <x:v>Unitário</x:v>
      </x:c>
      <x:c r="C40" s="221" t="str">
        <x:v>server/tests/critical_routes.unit.test.ts</x:v>
      </x:c>
      <x:c r="D40" s="221" t="str">
        <x:v>Rollback sem versão anterior desfaz a transação aberta</x:v>
      </x:c>
      <x:c r="E40" s="221" t="str">
        <x:v>Sim</x:v>
      </x:c>
      <x:c r="F40" s="221" t="str">
        <x:v>Aprovado</x:v>
      </x:c>
    </x:row>
    <x:row r="41" ht="15" hidden="0" customHeight="1">
      <x:c r="A41" s="179" t="n">
        <x:v>35</x:v>
      </x:c>
      <x:c r="B41" s="221" t="str">
        <x:v>Integração</x:v>
      </x:c>
      <x:c r="C41" s="221" t="str">
        <x:v>server/tests/interaction.test.ts</x:v>
      </x:c>
      <x:c r="D41" s="221" t="str">
        <x:v>Auditoria - ADMIN/OPERADOR pode acessar aggregations</x:v>
      </x:c>
      <x:c r="E41" s="221" t="str">
        <x:v>Não</x:v>
      </x:c>
      <x:c r="F41" s="221" t="str">
        <x:v>Não executado nesta auditoria</x:v>
      </x:c>
    </x:row>
    <x:row r="42" ht="15" hidden="0" customHeight="1">
      <x:c r="A42" s="179" t="n">
        <x:v>36</x:v>
      </x:c>
      <x:c r="B42" s="221" t="str">
        <x:v>Integração</x:v>
      </x:c>
      <x:c r="C42" s="221" t="str">
        <x:v>server/tests/interaction.test.ts</x:v>
      </x:c>
      <x:c r="D42" s="221" t="str">
        <x:v>Auditoria - SOLICITANTE é impedido de acessar aggregations</x:v>
      </x:c>
      <x:c r="E42" s="221" t="str">
        <x:v>Não</x:v>
      </x:c>
      <x:c r="F42" s="221" t="str">
        <x:v>Não executado nesta auditoria</x:v>
      </x:c>
    </x:row>
    <x:row r="43" ht="15" hidden="0" customHeight="1">
      <x:c r="A43" s="179" t="n">
        <x:v>37</x:v>
      </x:c>
      <x:c r="B43" s="221" t="str">
        <x:v>Integração</x:v>
      </x:c>
      <x:c r="C43" s="221" t="str">
        <x:v>server/tests/interaction.test.ts</x:v>
      </x:c>
      <x:c r="D43" s="221" t="str">
        <x:v>Feedback - Proprietário (SOLICITANTE) pode registrar feedback</x:v>
      </x:c>
      <x:c r="E43" s="221" t="str">
        <x:v>Não</x:v>
      </x:c>
      <x:c r="F43" s="221" t="str">
        <x:v>Não executado nesta auditoria</x:v>
      </x:c>
    </x:row>
    <x:row r="44" ht="15" hidden="0" customHeight="1">
      <x:c r="A44" s="179" t="n">
        <x:v>38</x:v>
      </x:c>
      <x:c r="B44" s="221" t="str">
        <x:v>Integração</x:v>
      </x:c>
      <x:c r="C44" s="221" t="str">
        <x:v>server/tests/interaction.test.ts</x:v>
      </x:c>
      <x:c r="D44" s="221" t="str">
        <x:v>Feedback - Não proprietário é bloqueado no feedback</x:v>
      </x:c>
      <x:c r="E44" s="221" t="str">
        <x:v>Não</x:v>
      </x:c>
      <x:c r="F44" s="221" t="str">
        <x:v>Não executado nesta auditoria</x:v>
      </x:c>
    </x:row>
    <x:row r="45" ht="15" hidden="0" customHeight="1">
      <x:c r="A45" s="179" t="n">
        <x:v>39</x:v>
      </x:c>
      <x:c r="B45" s="221" t="str">
        <x:v>Integração</x:v>
      </x:c>
      <x:c r="C45" s="221" t="str">
        <x:v>server/tests/jobs.test.ts</x:v>
      </x:c>
      <x:c r="D45" s="221" t="str">
        <x:v>GET /api/jobs - Deve listar jobs e seus parâmetros</x:v>
      </x:c>
      <x:c r="E45" s="221" t="str">
        <x:v>Não</x:v>
      </x:c>
      <x:c r="F45" s="221" t="str">
        <x:v>Não executado nesta auditoria</x:v>
      </x:c>
    </x:row>
    <x:row r="46" ht="15" hidden="0" customHeight="1">
      <x:c r="A46" s="179" t="n">
        <x:v>40</x:v>
      </x:c>
      <x:c r="B46" s="221" t="str">
        <x:v>Integração</x:v>
      </x:c>
      <x:c r="C46" s="221" t="str">
        <x:v>server/tests/jobs.test.ts</x:v>
      </x:c>
      <x:c r="D46" s="221" t="str">
        <x:v>POST /api/jobs - Deve impedir criação por SOLICITANTE (RBAC)</x:v>
      </x:c>
      <x:c r="E46" s="221" t="str">
        <x:v>Não</x:v>
      </x:c>
      <x:c r="F46" s="221" t="str">
        <x:v>Não executado nesta auditoria</x:v>
      </x:c>
    </x:row>
    <x:row r="47" ht="15" hidden="0" customHeight="1">
      <x:c r="A47" s="179" t="n">
        <x:v>41</x:v>
      </x:c>
      <x:c r="B47" s="221" t="str">
        <x:v>Integração</x:v>
      </x:c>
      <x:c r="C47" s="221" t="str">
        <x:v>server/tests/jobs.test.ts</x:v>
      </x:c>
      <x:c r="D47" s="221" t="str">
        <x:v>POST /api/jobs - Deve criar job e parâmetros com ADMIN</x:v>
      </x:c>
      <x:c r="E47" s="221" t="str">
        <x:v>Não</x:v>
      </x:c>
      <x:c r="F47" s="221" t="str">
        <x:v>Não executado nesta auditoria</x:v>
      </x:c>
    </x:row>
    <x:row r="48" ht="15" hidden="0" customHeight="1">
      <x:c r="A48" s="179" t="n">
        <x:v>42</x:v>
      </x:c>
      <x:c r="B48" s="221" t="str">
        <x:v>Integração</x:v>
      </x:c>
      <x:c r="C48" s="221" t="str">
        <x:v>server/tests/jobs.test.ts</x:v>
      </x:c>
      <x:c r="D48" s="221" t="str">
        <x:v>PUT /api/jobs/:id - Deve atualizar job e seus parâmetros como ADMIN</x:v>
      </x:c>
      <x:c r="E48" s="221" t="str">
        <x:v>Não</x:v>
      </x:c>
      <x:c r="F48" s="221" t="str">
        <x:v>Não executado nesta auditoria</x:v>
      </x:c>
    </x:row>
    <x:row r="49" ht="15" hidden="0" customHeight="1">
      <x:c r="A49" s="179" t="n">
        <x:v>43</x:v>
      </x:c>
      <x:c r="B49" s="221" t="str">
        <x:v>Integração</x:v>
      </x:c>
      <x:c r="C49" s="221" t="str">
        <x:v>server/tests/jobs.test.ts</x:v>
      </x:c>
      <x:c r="D49" s="221" t="str">
        <x:v>PUT /api/jobs/:id - Retorna 404 para job inexistente</x:v>
      </x:c>
      <x:c r="E49" s="221" t="str">
        <x:v>Não</x:v>
      </x:c>
      <x:c r="F49" s="221" t="str">
        <x:v>Não executado nesta auditoria</x:v>
      </x:c>
    </x:row>
    <x:row r="50" ht="15" hidden="0" customHeight="1">
      <x:c r="A50" s="179" t="n">
        <x:v>44</x:v>
      </x:c>
      <x:c r="B50" s="221" t="str">
        <x:v>Integração</x:v>
      </x:c>
      <x:c r="C50" s="221" t="str">
        <x:v>server/tests/jobs.test.ts</x:v>
      </x:c>
      <x:c r="D50" s="221" t="str">
        <x:v>POST /api/jobs/seed - Deve verificar seed de jobs como ADMIN</x:v>
      </x:c>
      <x:c r="E50" s="221" t="str">
        <x:v>Não</x:v>
      </x:c>
      <x:c r="F50" s="221" t="str">
        <x:v>Não executado nesta auditoria</x:v>
      </x:c>
    </x:row>
    <x:row r="51" ht="15" hidden="0" customHeight="1">
      <x:c r="A51" s="179" t="n">
        <x:v>45</x:v>
      </x:c>
      <x:c r="B51" s="221" t="str">
        <x:v>Integração</x:v>
      </x:c>
      <x:c r="C51" s="221" t="str">
        <x:v>server/tests/jobs.test.ts</x:v>
      </x:c>
      <x:c r="D51" s="221" t="str">
        <x:v>DELETE /api/jobs/:id - Deve remover job e parâmetros com ADMIN</x:v>
      </x:c>
      <x:c r="E51" s="221" t="str">
        <x:v>Não</x:v>
      </x:c>
      <x:c r="F51" s="221" t="str">
        <x:v>Não executado nesta auditoria</x:v>
      </x:c>
    </x:row>
    <x:row r="52" ht="15" hidden="0" customHeight="1">
      <x:c r="A52" s="179" t="n">
        <x:v>46</x:v>
      </x:c>
      <x:c r="B52" s="221" t="str">
        <x:v>Integração</x:v>
      </x:c>
      <x:c r="C52" s="221" t="str">
        <x:v>server/tests/knowledge_integration.test.ts</x:v>
      </x:c>
      <x:c r="D52" s="221" t="str">
        <x:v>Fluxo de Publicação e Integração com Prompt do Agente</x:v>
      </x:c>
      <x:c r="E52" s="221" t="str">
        <x:v>Não</x:v>
      </x:c>
      <x:c r="F52" s="221" t="str">
        <x:v>Não executado nesta auditoria</x:v>
      </x:c>
    </x:row>
    <x:row r="53" ht="15" hidden="0" customHeight="1">
      <x:c r="A53" s="179" t="n">
        <x:v>47</x:v>
      </x:c>
      <x:c r="B53" s="221" t="str">
        <x:v>Unitário</x:v>
      </x:c>
      <x:c r="C53" s="221" t="str">
        <x:v>server/tests/migrationSafety.test.ts</x:v>
      </x:c>
      <x:c r="D53" s="221" t="str">
        <x:v>removes only top-level transaction statements from historic migrations</x:v>
      </x:c>
      <x:c r="E53" s="221" t="str">
        <x:v>Sim</x:v>
      </x:c>
      <x:c r="F53" s="221" t="str">
        <x:v>Aprovado</x:v>
      </x:c>
    </x:row>
    <x:row r="54" ht="15" hidden="0" customHeight="1">
      <x:c r="A54" s="179" t="n">
        <x:v>48</x:v>
      </x:c>
      <x:c r="B54" s="221" t="str">
        <x:v>Unitário</x:v>
      </x:c>
      <x:c r="C54" s="221" t="str">
        <x:v>server/tests/migrationSafety.test.ts</x:v>
      </x:c>
      <x:c r="D54" s="221" t="str">
        <x:v>blocks destructive operations directed at public.users</x:v>
      </x:c>
      <x:c r="E54" s="221" t="str">
        <x:v>Sim</x:v>
      </x:c>
      <x:c r="F54" s="221" t="str">
        <x:v>Aprovado</x:v>
      </x:c>
    </x:row>
    <x:row r="55" ht="15" hidden="0" customHeight="1">
      <x:c r="A55" s="179" t="n">
        <x:v>49</x:v>
      </x:c>
      <x:c r="B55" s="221" t="str">
        <x:v>Unitário</x:v>
      </x:c>
      <x:c r="C55" s="221" t="str">
        <x:v>server/tests/migrationSafety.test.ts</x:v>
      </x:c>
      <x:c r="D55" s="221" t="str">
        <x:v>rejects alternative PostgreSQL transaction-ending commands</x:v>
      </x:c>
      <x:c r="E55" s="221" t="str">
        <x:v>Sim</x:v>
      </x:c>
      <x:c r="F55" s="221" t="str">
        <x:v>Aprovado</x:v>
      </x:c>
    </x:row>
    <x:row r="56" ht="15" hidden="0" customHeight="1">
      <x:c r="A56" s="179" t="n">
        <x:v>50</x:v>
      </x:c>
      <x:c r="B56" s="221" t="str">
        <x:v>Unitário</x:v>
      </x:c>
      <x:c r="C56" s="221" t="str">
        <x:v>server/tests/migrationSafety.test.ts</x:v>
      </x:c>
      <x:c r="D56" s="221" t="str">
        <x:v>rejects END at EOF before a dynamic users drop can escape the transaction</x:v>
      </x:c>
      <x:c r="E56" s="221" t="str">
        <x:v>Sim</x:v>
      </x:c>
      <x:c r="F56" s="221" t="str">
        <x:v>Aprovado</x:v>
      </x:c>
    </x:row>
    <x:row r="57" ht="15" hidden="0" customHeight="1">
      <x:c r="A57" s="179" t="n">
        <x:v>51</x:v>
      </x:c>
      <x:c r="B57" s="221" t="str">
        <x:v>Unitário</x:v>
      </x:c>
      <x:c r="C57" s="221" t="str">
        <x:v>server/tests/migrationSafety.test.ts</x:v>
      </x:c>
      <x:c r="D57" s="221" t="str">
        <x:v>does not treat a backslash as an escape in an ordinary PostgreSQL string</x:v>
      </x:c>
      <x:c r="E57" s="221" t="str">
        <x:v>Sim</x:v>
      </x:c>
      <x:c r="F57" s="221" t="str">
        <x:v>Aprovado</x:v>
      </x:c>
    </x:row>
    <x:row r="58" ht="15" hidden="0" customHeight="1">
      <x:c r="A58" s="179" t="n">
        <x:v>52</x:v>
      </x:c>
      <x:c r="B58" s="221" t="str">
        <x:v>Unitário</x:v>
      </x:c>
      <x:c r="C58" s="221" t="str">
        <x:v>server/tests/migrationSafety.test.ts</x:v>
      </x:c>
      <x:c r="D58" s="221" t="str">
        <x:v>does not treat a dollar inside an identifier as a dollar-quote delimiter</x:v>
      </x:c>
      <x:c r="E58" s="221" t="str">
        <x:v>Sim</x:v>
      </x:c>
      <x:c r="F58" s="221" t="str">
        <x:v>Aprovado</x:v>
      </x:c>
    </x:row>
    <x:row r="59" ht="15" hidden="0" customHeight="1">
      <x:c r="A59" s="179" t="n">
        <x:v>53</x:v>
      </x:c>
      <x:c r="B59" s="221" t="str">
        <x:v>Unitário</x:v>
      </x:c>
      <x:c r="C59" s="221" t="str">
        <x:v>server/tests/migrationSafety.test.ts</x:v>
      </x:c>
      <x:c r="D59" s="221" t="str">
        <x:v>does not treat a dollar after a Unicode identifier as a dollar-quote delimiter</x:v>
      </x:c>
      <x:c r="E59" s="221" t="str">
        <x:v>Sim</x:v>
      </x:c>
      <x:c r="F59" s="221" t="str">
        <x:v>Aprovado</x:v>
      </x:c>
    </x:row>
    <x:row r="60" ht="15" hidden="0" customHeight="1">
      <x:c r="A60" s="179" t="n">
        <x:v>54</x:v>
      </x:c>
      <x:c r="B60" s="221" t="str">
        <x:v>Unitário</x:v>
      </x:c>
      <x:c r="C60" s="221" t="str">
        <x:v>server/tests/migrationSafety.test.ts</x:v>
      </x:c>
      <x:c r="D60" s="221" t="str">
        <x:v>does not treat a string after a Unicode identifier as an E string</x:v>
      </x:c>
      <x:c r="E60" s="221" t="str">
        <x:v>Sim</x:v>
      </x:c>
      <x:c r="F60" s="221" t="str">
        <x:v>Aprovado</x:v>
      </x:c>
    </x:row>
    <x:row r="61" ht="15" hidden="0" customHeight="1">
      <x:c r="A61" s="179" t="n">
        <x:v>55</x:v>
      </x:c>
      <x:c r="B61" s="221" t="str">
        <x:v>Unitário</x:v>
      </x:c>
      <x:c r="C61" s="221" t="str">
        <x:v>server/tests/migrationSafety.test.ts</x:v>
      </x:c>
      <x:c r="D61" s="221" t="str">
        <x:v>continues to recognize escaped quotes inside PostgreSQL E strings</x:v>
      </x:c>
      <x:c r="E61" s="221" t="str">
        <x:v>Sim</x:v>
      </x:c>
      <x:c r="F61" s="221" t="str">
        <x:v>Aprovado</x:v>
      </x:c>
    </x:row>
    <x:row r="62" ht="15" hidden="0" customHeight="1">
      <x:c r="A62" s="179" t="n">
        <x:v>56</x:v>
      </x:c>
      <x:c r="B62" s="221" t="str">
        <x:v>Unitário</x:v>
      </x:c>
      <x:c r="C62" s="221" t="str">
        <x:v>server/tests/migrationSafety.test.ts</x:v>
      </x:c>
      <x:c r="D62" s="221" t="str">
        <x:v>rejects standalone PostgreSQL session-setting commands</x:v>
      </x:c>
      <x:c r="E62" s="221" t="str">
        <x:v>Sim</x:v>
      </x:c>
      <x:c r="F62" s="221" t="str">
        <x:v>Aprovado</x:v>
      </x:c>
    </x:row>
    <x:row r="63" ht="15" hidden="0" customHeight="1">
      <x:c r="A63" s="179" t="n">
        <x:v>57</x:v>
      </x:c>
      <x:c r="B63" s="221" t="str">
        <x:v>Unitário</x:v>
      </x:c>
      <x:c r="C63" s="221" t="str">
        <x:v>server/tests/migrationSafety.test.ts</x:v>
      </x:c>
      <x:c r="D63" s="221" t="str">
        <x:v>does not flag comments or the non-destructive historical users migration</x:v>
      </x:c>
      <x:c r="E63" s="221" t="str">
        <x:v>Sim</x:v>
      </x:c>
      <x:c r="F63" s="221" t="str">
        <x:v>Aprovado</x:v>
      </x:c>
    </x:row>
    <x:row r="64" ht="15" hidden="0" customHeight="1">
      <x:c r="A64" s="179" t="n">
        <x:v>58</x:v>
      </x:c>
      <x:c r="B64" s="221" t="str">
        <x:v>Unitário</x:v>
      </x:c>
      <x:c r="C64" s="221" t="str">
        <x:v>server/tests/migrationSafety.test.ts</x:v>
      </x:c>
      <x:c r="D64" s="221" t="str">
        <x:v>every numeric migration can run inside the runner transaction and preserves users</x:v>
      </x:c>
      <x:c r="E64" s="221" t="str">
        <x:v>Sim</x:v>
      </x:c>
      <x:c r="F64" s="221" t="str">
        <x:v>Aprovado</x:v>
      </x:c>
    </x:row>
    <x:row r="65" ht="15" hidden="0" customHeight="1">
      <x:c r="A65" s="179" t="n">
        <x:v>59</x:v>
      </x:c>
      <x:c r="B65" s="221" t="str">
        <x:v>Unitário</x:v>
      </x:c>
      <x:c r="C65" s="221" t="str">
        <x:v>server/tests/norms_applicability.unit.test.ts</x:v>
      </x:c>
      <x:c r="D65" s="221" t="str">
        <x:v>validateJobApplicability accepts null as all job types</x:v>
      </x:c>
      <x:c r="E65" s="221" t="str">
        <x:v>Sim</x:v>
      </x:c>
      <x:c r="F65" s="221" t="str">
        <x:v>Aprovado</x:v>
      </x:c>
    </x:row>
    <x:row r="66" ht="15" hidden="0" customHeight="1">
      <x:c r="A66" s="179" t="n">
        <x:v>60</x:v>
      </x:c>
      <x:c r="B66" s="221" t="str">
        <x:v>Unitário</x:v>
      </x:c>
      <x:c r="C66" s="221" t="str">
        <x:v>server/tests/norms_applicability.unit.test.ts</x:v>
      </x:c>
      <x:c r="D66" s="221" t="str">
        <x:v>validateJobApplicability normalizes a valid scope</x:v>
      </x:c>
      <x:c r="E66" s="221" t="str">
        <x:v>Sim</x:v>
      </x:c>
      <x:c r="F66" s="221" t="str">
        <x:v>Aprovado</x:v>
      </x:c>
    </x:row>
    <x:row r="67" ht="15" hidden="0" customHeight="1">
      <x:c r="A67" s="179" t="n">
        <x:v>61</x:v>
      </x:c>
      <x:c r="B67" s="221" t="str">
        <x:v>Unitário</x:v>
      </x:c>
      <x:c r="C67" s="221" t="str">
        <x:v>server/tests/norms_applicability.unit.test.ts</x:v>
      </x:c>
      <x:c r="D67" s="221" t="str">
        <x:v>validateJobApplicability rejects unsafe scope values</x:v>
      </x:c>
      <x:c r="E67" s="221" t="str">
        <x:v>Sim</x:v>
      </x:c>
      <x:c r="F67" s="221" t="str">
        <x:v>Aprovado</x:v>
      </x:c>
    </x:row>
    <x:row r="68" ht="15" hidden="0" customHeight="1">
      <x:c r="A68" s="179" t="n">
        <x:v>62</x:v>
      </x:c>
      <x:c r="B68" s="221" t="str">
        <x:v>Unitário</x:v>
      </x:c>
      <x:c r="C68" s="221" t="str">
        <x:v>server/tests/pdf-renderer.test.ts</x:v>
      </x:c>
      <x:c r="D68" s="221" t="str">
        <x:v>PDF renderer embeds the institutional logo and safely falls back when it is unavailable</x:v>
      </x:c>
      <x:c r="E68" s="221" t="str">
        <x:v>Sim</x:v>
      </x:c>
      <x:c r="F68" s="221" t="str">
        <x:v>Aprovado</x:v>
      </x:c>
    </x:row>
    <x:row r="69" ht="15" hidden="0" customHeight="1">
      <x:c r="A69" s="179" t="n">
        <x:v>63</x:v>
      </x:c>
      <x:c r="B69" s="221" t="str">
        <x:v>Unitário</x:v>
      </x:c>
      <x:c r="C69" s="221" t="str">
        <x:v>server/tests/pdf-renderer.test.ts</x:v>
      </x:c>
      <x:c r="D69" s="221" t="str">
        <x:v>PDF renderer omits unpublished catalog warnings but retains operational warnings</x:v>
      </x:c>
      <x:c r="E69" s="221" t="str">
        <x:v>Sim</x:v>
      </x:c>
      <x:c r="F69" s="221" t="str">
        <x:v>Aprovado</x:v>
      </x:c>
    </x:row>
    <x:row r="70" ht="15" hidden="0" customHeight="1">
      <x:c r="A70" s="179" t="n">
        <x:v>64</x:v>
      </x:c>
      <x:c r="B70" s="221" t="str">
        <x:v>Unitário</x:v>
      </x:c>
      <x:c r="C70" s="221" t="str">
        <x:v>server/tests/pdf-renderer.test.ts</x:v>
      </x:c>
      <x:c r="D70" s="221" t="str">
        <x:v>PDF renderer supports a structured Application checklist with multiple jobs</x:v>
      </x:c>
      <x:c r="E70" s="221" t="str">
        <x:v>Sim</x:v>
      </x:c>
      <x:c r="F70" s="221" t="str">
        <x:v>Aprovado</x:v>
      </x:c>
    </x:row>
    <x:row r="71" ht="15" hidden="0" customHeight="1">
      <x:c r="A71" s="179" t="n">
        <x:v>65</x:v>
      </x:c>
      <x:c r="B71" s="221" t="str">
        <x:v>Unitário</x:v>
      </x:c>
      <x:c r="C71" s="221" t="str">
        <x:v>server/tests/pdf-renderer.test.ts</x:v>
      </x:c>
      <x:c r="D71" s="221" t="str">
        <x:v>PDF renderer retains legacy single-job payload support</x:v>
      </x:c>
      <x:c r="E71" s="221" t="str">
        <x:v>Sim</x:v>
      </x:c>
      <x:c r="F71" s="221" t="str">
        <x:v>Aprovado</x:v>
      </x:c>
    </x:row>
    <x:row r="72" ht="15" hidden="0" customHeight="1">
      <x:c r="A72" s="179" t="n">
        <x:v>66</x:v>
      </x:c>
      <x:c r="B72" s="221" t="str">
        <x:v>Unitário</x:v>
      </x:c>
      <x:c r="C72" s="221" t="str">
        <x:v>server/tests/pdf.test.ts</x:v>
      </x:c>
      <x:c r="D72" s="221" t="str">
        <x:v>PDF Service - direct Buffer generation</x:v>
      </x:c>
      <x:c r="E72" s="221" t="str">
        <x:v>Sim</x:v>
      </x:c>
      <x:c r="F72" s="221" t="str">
        <x:v>Aprovado</x:v>
      </x:c>
    </x:row>
    <x:row r="73" ht="15" hidden="0" customHeight="1">
      <x:c r="A73" s="179" t="n">
        <x:v>67</x:v>
      </x:c>
      <x:c r="B73" s="221" t="str">
        <x:v>Unitário</x:v>
      </x:c>
      <x:c r="C73" s="221" t="str">
        <x:v>server/tests/pdf.test.ts</x:v>
      </x:c>
      <x:c r="D73" s="221" t="str">
        <x:v>PDF Service - document version metadata</x:v>
      </x:c>
      <x:c r="E73" s="221" t="str">
        <x:v>Sim</x:v>
      </x:c>
      <x:c r="F73" s="221" t="str">
        <x:v>Aprovado</x:v>
      </x:c>
    </x:row>
    <x:row r="74" ht="15" hidden="0" customHeight="1">
      <x:c r="A74" s="179" t="n">
        <x:v>68</x:v>
      </x:c>
      <x:c r="B74" s="221" t="str">
        <x:v>Unitário</x:v>
      </x:c>
      <x:c r="C74" s="221" t="str">
        <x:v>server/tests/pdf.test.ts</x:v>
      </x:c>
      <x:c r="D74" s="221" t="str">
        <x:v>PDF Service - creates extra pages for overflowing validation content</x:v>
      </x:c>
      <x:c r="E74" s="221" t="str">
        <x:v>Sim</x:v>
      </x:c>
      <x:c r="F74" s="221" t="str">
        <x:v>Aprovado</x:v>
      </x:c>
    </x:row>
    <x:row r="75" ht="15" hidden="0" customHeight="1">
      <x:c r="A75" s="179" t="n">
        <x:v>69</x:v>
      </x:c>
      <x:c r="B75" s="221" t="str">
        <x:v>Unitário</x:v>
      </x:c>
      <x:c r="C75" s="221" t="str">
        <x:v>server/tests/pdf.test.ts</x:v>
      </x:c>
      <x:c r="D75" s="221" t="str">
        <x:v>PDF Service - renders CAPADOR parameters</x:v>
      </x:c>
      <x:c r="E75" s="221" t="str">
        <x:v>Sim</x:v>
      </x:c>
      <x:c r="F75" s="221" t="str">
        <x:v>Aprovado</x:v>
      </x:c>
    </x:row>
    <x:row r="76" ht="15" hidden="0" customHeight="1">
      <x:c r="A76" s="179" t="n">
        <x:v>70</x:v>
      </x:c>
      <x:c r="B76" s="221" t="str">
        <x:v>Unitário</x:v>
      </x:c>
      <x:c r="C76" s="221" t="str">
        <x:v>server/tests/pdf.test.ts</x:v>
      </x:c>
      <x:c r="D76" s="221" t="str">
        <x:v>Endpoint PDF - authenticated download</x:v>
      </x:c>
      <x:c r="E76" s="221" t="str">
        <x:v>Sim</x:v>
      </x:c>
      <x:c r="F76" s="221" t="str">
        <x:v>Ignorado (sem BD)</x:v>
      </x:c>
    </x:row>
    <x:row r="77" ht="15" hidden="0" customHeight="1">
      <x:c r="A77" s="179" t="n">
        <x:v>71</x:v>
      </x:c>
      <x:c r="B77" s="221" t="str">
        <x:v>Unitário</x:v>
      </x:c>
      <x:c r="C77" s="221" t="str">
        <x:v>server/tests/pdf.test.ts</x:v>
      </x:c>
      <x:c r="D77" s="221" t="str">
        <x:v>Endpoint PDF - blocks foreign requester</x:v>
      </x:c>
      <x:c r="E77" s="221" t="str">
        <x:v>Sim</x:v>
      </x:c>
      <x:c r="F77" s="221" t="str">
        <x:v>Ignorado (sem BD)</x:v>
      </x:c>
    </x:row>
    <x:row r="78" ht="15" hidden="0" customHeight="1">
      <x:c r="A78" s="179" t="n">
        <x:v>72</x:v>
      </x:c>
      <x:c r="B78" s="221" t="str">
        <x:v>Integração</x:v>
      </x:c>
      <x:c r="C78" s="221" t="str">
        <x:v>server/tests/rbac.test.ts</x:v>
      </x:c>
      <x:c r="D78" s="221" t="str">
        <x:v>Autenticação - Deve rejeitar requisição sem token na rota de checklists</x:v>
      </x:c>
      <x:c r="E78" s="221" t="str">
        <x:v>Não</x:v>
      </x:c>
      <x:c r="F78" s="221" t="str">
        <x:v>Não executado nesta auditoria</x:v>
      </x:c>
    </x:row>
    <x:row r="79" ht="15" hidden="0" customHeight="1">
      <x:c r="A79" s="179" t="n">
        <x:v>73</x:v>
      </x:c>
      <x:c r="B79" s="221" t="str">
        <x:v>Integração</x:v>
      </x:c>
      <x:c r="C79" s="221" t="str">
        <x:v>server/tests/rbac.test.ts</x:v>
      </x:c>
      <x:c r="D79" s="221" t="str">
        <x:v>Autenticação - Deve rejeitar requisição com token inválido na rota de checklists</x:v>
      </x:c>
      <x:c r="E79" s="221" t="str">
        <x:v>Não</x:v>
      </x:c>
      <x:c r="F79" s="221" t="str">
        <x:v>Não executado nesta auditoria</x:v>
      </x:c>
    </x:row>
    <x:row r="80" ht="15" hidden="0" customHeight="1">
      <x:c r="A80" s="179" t="n">
        <x:v>74</x:v>
      </x:c>
      <x:c r="B80" s="221" t="str">
        <x:v>Integração</x:v>
      </x:c>
      <x:c r="C80" s="221" t="str">
        <x:v>server/tests/rbac.test.ts</x:v>
      </x:c>
      <x:c r="D80" s="221" t="str">
        <x:v>Autenticação - Deve rejeitar requisição com token de usuário inativo</x:v>
      </x:c>
      <x:c r="E80" s="221" t="str">
        <x:v>Não</x:v>
      </x:c>
      <x:c r="F80" s="221" t="str">
        <x:v>Não executado nesta auditoria</x:v>
      </x:c>
    </x:row>
    <x:row r="81" ht="15" hidden="0" customHeight="1">
      <x:c r="A81" s="179" t="n">
        <x:v>75</x:v>
      </x:c>
      <x:c r="B81" s="221" t="str">
        <x:v>Integração</x:v>
      </x:c>
      <x:c r="C81" s="221" t="str">
        <x:v>server/tests/rbac.test.ts</x:v>
      </x:c>
      <x:c r="D81" s="221" t="str">
        <x:v>Autenticação - Deve impedir login de usuário inativo na rota de login</x:v>
      </x:c>
      <x:c r="E81" s="221" t="str">
        <x:v>Não</x:v>
      </x:c>
      <x:c r="F81" s="221" t="str">
        <x:v>Não executado nesta auditoria</x:v>
      </x:c>
    </x:row>
    <x:row r="82" ht="15" hidden="0" customHeight="1">
      <x:c r="A82" s="179" t="n">
        <x:v>76</x:v>
      </x:c>
      <x:c r="B82" s="221" t="str">
        <x:v>Integração</x:v>
      </x:c>
      <x:c r="C82" s="221" t="str">
        <x:v>server/tests/rbac.test.ts</x:v>
      </x:c>
      <x:c r="D82" s="221" t="str">
        <x:v>Autorização - Deve impedir SOLICITANTE de criar normas</x:v>
      </x:c>
      <x:c r="E82" s="221" t="str">
        <x:v>Não</x:v>
      </x:c>
      <x:c r="F82" s="221" t="str">
        <x:v>Não executado nesta auditoria</x:v>
      </x:c>
    </x:row>
    <x:row r="83" ht="15" hidden="0" customHeight="1">
      <x:c r="A83" s="179" t="n">
        <x:v>77</x:v>
      </x:c>
      <x:c r="B83" s="221" t="str">
        <x:v>Integração</x:v>
      </x:c>
      <x:c r="C83" s="221" t="str">
        <x:v>server/tests/rbac.test.ts</x:v>
      </x:c>
      <x:c r="D83" s="221" t="str">
        <x:v>Autorização - Deve impedir OPERADOR de criar normas</x:v>
      </x:c>
      <x:c r="E83" s="221" t="str">
        <x:v>Não</x:v>
      </x:c>
      <x:c r="F83" s="221" t="str">
        <x:v>Não executado nesta auditoria</x:v>
      </x:c>
    </x:row>
    <x:row r="84" ht="15" hidden="0" customHeight="1">
      <x:c r="A84" s="179" t="n">
        <x:v>78</x:v>
      </x:c>
      <x:c r="B84" s="221" t="str">
        <x:v>Integração</x:v>
      </x:c>
      <x:c r="C84" s="221" t="str">
        <x:v>server/tests/rbac.test.ts</x:v>
      </x:c>
      <x:c r="D84" s="221" t="str">
        <x:v>Autorização - Deve impedir SOLICITANTE de visualizar usuários do sistema</x:v>
      </x:c>
      <x:c r="E84" s="221" t="str">
        <x:v>Não</x:v>
      </x:c>
      <x:c r="F84" s="221" t="str">
        <x:v>Não executado nesta auditoria</x:v>
      </x:c>
    </x:row>
    <x:row r="85" ht="15" hidden="0" customHeight="1">
      <x:c r="A85" s="179" t="n">
        <x:v>79</x:v>
      </x:c>
      <x:c r="B85" s="221" t="str">
        <x:v>Integração</x:v>
      </x:c>
      <x:c r="C85" s="221" t="str">
        <x:v>server/tests/rbac.test.ts</x:v>
      </x:c>
      <x:c r="D85" s="221" t="str">
        <x:v>Autorização - Deve impedir OPERADOR de visualizar usuários do sistema</x:v>
      </x:c>
      <x:c r="E85" s="221" t="str">
        <x:v>Não</x:v>
      </x:c>
      <x:c r="F85" s="221" t="str">
        <x:v>Não executado nesta auditoria</x:v>
      </x:c>
    </x:row>
    <x:row r="86" ht="15" hidden="0" customHeight="1">
      <x:c r="A86" s="179" t="n">
        <x:v>80</x:v>
      </x:c>
      <x:c r="B86" s="221" t="str">
        <x:v>Integração</x:v>
      </x:c>
      <x:c r="C86" s="221" t="str">
        <x:v>server/tests/rbac.test.ts</x:v>
      </x:c>
      <x:c r="D86" s="221" t="str">
        <x:v>Autorização - Deve permitir signup público e criar usuário SOLICITANTE</x:v>
      </x:c>
      <x:c r="E86" s="221" t="str">
        <x:v>Não</x:v>
      </x:c>
      <x:c r="F86" s="221" t="str">
        <x:v>Não executado nesta auditoria</x:v>
      </x:c>
    </x:row>
    <x:row r="87" ht="15" hidden="0" customHeight="1">
      <x:c r="A87" s="179" t="n">
        <x:v>81</x:v>
      </x:c>
      <x:c r="B87" s="221" t="str">
        <x:v>Integração</x:v>
      </x:c>
      <x:c r="C87" s="221" t="str">
        <x:v>server/tests/rbac.test.ts</x:v>
      </x:c>
      <x:c r="D87" s="221" t="str">
        <x:v>Permissões - Deve permitir ADMIN de listar usuários</x:v>
      </x:c>
      <x:c r="E87" s="221" t="str">
        <x:v>Não</x:v>
      </x:c>
      <x:c r="F87" s="221" t="str">
        <x:v>Não executado nesta auditoria</x:v>
      </x:c>
    </x:row>
    <x:row r="88" ht="15" hidden="0" customHeight="1">
      <x:c r="A88" s="179" t="n">
        <x:v>82</x:v>
      </x:c>
      <x:c r="B88" s="221" t="str">
        <x:v>Integração</x:v>
      </x:c>
      <x:c r="C88" s="221" t="str">
        <x:v>server/tests/rbac.test.ts</x:v>
      </x:c>
      <x:c r="D88" s="221" t="str">
        <x:v>Permissões - Deve permitir ADMIN de cadastrar novas normas</x:v>
      </x:c>
      <x:c r="E88" s="221" t="str">
        <x:v>Não</x:v>
      </x:c>
      <x:c r="F88" s="221" t="str">
        <x:v>Não executado nesta auditoria</x:v>
      </x:c>
    </x:row>
    <x:row r="89" ht="15" hidden="0" customHeight="1">
      <x:c r="A89" s="179" t="n">
        <x:v>83</x:v>
      </x:c>
      <x:c r="B89" s="221" t="str">
        <x:v>Integração</x:v>
      </x:c>
      <x:c r="C89" s="221" t="str">
        <x:v>server/tests/rbac.test.ts</x:v>
      </x:c>
      <x:c r="D89" s="221" t="str">
        <x:v>Permissões - Deve permitir OPERADOR de ler normas (base de conhecimento)</x:v>
      </x:c>
      <x:c r="E89" s="221" t="str">
        <x:v>Não</x:v>
      </x:c>
      <x:c r="F89" s="221" t="str">
        <x:v>Não executado nesta auditoria</x:v>
      </x:c>
    </x:row>
    <x:row r="90" ht="15" hidden="0" customHeight="1">
      <x:c r="A90" s="179" t="n">
        <x:v>84</x:v>
      </x:c>
      <x:c r="B90" s="221" t="str">
        <x:v>Integração</x:v>
      </x:c>
      <x:c r="C90" s="221" t="str">
        <x:v>server/tests/rbac.test.ts</x:v>
      </x:c>
      <x:c r="D90" s="221" t="str">
        <x:v>Permissões - Deve permitir SOLICITANTE de ler normas (base de conhecimento)</x:v>
      </x:c>
      <x:c r="E90" s="221" t="str">
        <x:v>Não</x:v>
      </x:c>
      <x:c r="F90" s="221" t="str">
        <x:v>Não executado nesta auditoria</x:v>
      </x:c>
    </x:row>
    <x:row r="91" ht="15" hidden="0" customHeight="1">
      <x:c r="A91" s="179" t="n">
        <x:v>85</x:v>
      </x:c>
      <x:c r="B91" s="221" t="str">
        <x:v>Integração</x:v>
      </x:c>
      <x:c r="C91" s="221" t="str">
        <x:v>server/tests/rbac.test.ts</x:v>
      </x:c>
      <x:c r="D91" s="221" t="str">
        <x:v>Permissões - Catálogo oficial administrativo é restrito a ADMIN</x:v>
      </x:c>
      <x:c r="E91" s="221" t="str">
        <x:v>Não</x:v>
      </x:c>
      <x:c r="F91" s="221" t="str">
        <x:v>Não executado nesta auditoria</x:v>
      </x:c>
    </x:row>
    <x:row r="92" ht="15" hidden="0" customHeight="1">
      <x:c r="A92" s="179" t="n">
        <x:v>86</x:v>
      </x:c>
      <x:c r="B92" s="221" t="str">
        <x:v>Integração</x:v>
      </x:c>
      <x:c r="C92" s="221" t="str">
        <x:v>server/tests/rbac.test.ts</x:v>
      </x:c>
      <x:c r="D92" s="221" t="str">
        <x:v>Norm scope applicability is restricted to ADMIN and is audited</x:v>
      </x:c>
      <x:c r="E92" s="221" t="str">
        <x:v>Não</x:v>
      </x:c>
      <x:c r="F92" s="221" t="str">
        <x:v>Não executado nesta auditoria</x:v>
      </x:c>
    </x:row>
    <x:row r="93" ht="15" hidden="0" customHeight="1">
      <x:c r="A93" s="179" t="n">
        <x:v>87</x:v>
      </x:c>
      <x:c r="B93" s="221" t="str">
        <x:v>Integração</x:v>
      </x:c>
      <x:c r="C93" s="221" t="str">
        <x:v>server/tests/rbac.test.ts</x:v>
      </x:c>
      <x:c r="D93" s="221" t="str">
        <x:v>Isolamento - Checklists e isolamento por papel</x:v>
      </x:c>
      <x:c r="E93" s="221" t="str">
        <x:v>Não</x:v>
      </x:c>
      <x:c r="F93" s="221" t="str">
        <x:v>Não executado nesta auditoria</x:v>
      </x:c>
    </x:row>
    <x:row r="94" ht="15" hidden="0" customHeight="1">
      <x:c r="A94" s="179" t="n">
        <x:v>88</x:v>
      </x:c>
      <x:c r="B94" s="221" t="str">
        <x:v>Integração</x:v>
      </x:c>
      <x:c r="C94" s="221" t="str">
        <x:v>server/tests/rbac.test.ts</x:v>
      </x:c>
      <x:c r="D94" s="221" t="str">
        <x:v>SOLICITANTE deve ver apenas seus próprios checklists</x:v>
      </x:c>
      <x:c r="E94" s="221" t="str">
        <x:v>Não</x:v>
      </x:c>
      <x:c r="F94" s="221" t="str">
        <x:v>Não executado nesta auditoria</x:v>
      </x:c>
    </x:row>
    <x:row r="95" ht="15" hidden="0" customHeight="1">
      <x:c r="A95" s="179" t="n">
        <x:v>89</x:v>
      </x:c>
      <x:c r="B95" s="221" t="str">
        <x:v>Integração</x:v>
      </x:c>
      <x:c r="C95" s="221" t="str">
        <x:v>server/tests/rbac.test.ts</x:v>
      </x:c>
      <x:c r="D95" s="221" t="str">
        <x:v>SOLICITANTE deve ter tentativas de filtrar checklist de terceiros ignoradas/rejeitadas</x:v>
      </x:c>
      <x:c r="E95" s="221" t="str">
        <x:v>Não</x:v>
      </x:c>
      <x:c r="F95" s="221" t="str">
        <x:v>Não executado nesta auditoria</x:v>
      </x:c>
    </x:row>
    <x:row r="96" ht="15" hidden="0" customHeight="1">
      <x:c r="A96" s="179" t="n">
        <x:v>90</x:v>
      </x:c>
      <x:c r="B96" s="221" t="str">
        <x:v>Integração</x:v>
      </x:c>
      <x:c r="C96" s="221" t="str">
        <x:v>server/tests/rbac.test.ts</x:v>
      </x:c>
      <x:c r="D96" s="221" t="str">
        <x:v>OPERADOR deve conseguir ver todos os checklists ou filtrar por usuário</x:v>
      </x:c>
      <x:c r="E96" s="221" t="str">
        <x:v>Não</x:v>
      </x:c>
      <x:c r="F96" s="221" t="str">
        <x:v>Não executado nesta auditoria</x:v>
      </x:c>
    </x:row>
    <x:row r="97" ht="15" hidden="0" customHeight="1">
      <x:c r="A97" s="179" t="n">
        <x:v>91</x:v>
      </x:c>
      <x:c r="B97" s="221" t="str">
        <x:v>Integração</x:v>
      </x:c>
      <x:c r="C97" s="221" t="str">
        <x:v>server/tests/rbac.test.ts</x:v>
      </x:c>
      <x:c r="D97" s="221" t="str">
        <x:v>POST /checklists deve derivar user_id do JWT e ignorar payload do cliente</x:v>
      </x:c>
      <x:c r="E97" s="221" t="str">
        <x:v>Não</x:v>
      </x:c>
      <x:c r="F97" s="221" t="str">
        <x:v>Não executado nesta auditoria</x:v>
      </x:c>
    </x:row>
    <x:row r="98" ht="24" hidden="0" customHeight="1">
      <x:c r="A98" s="179" t="n">
        <x:v>92</x:v>
      </x:c>
      <x:c r="B98" s="221" t="str">
        <x:v>Integração</x:v>
      </x:c>
      <x:c r="C98" s="221" t="str">
        <x:v>server/tests/rbac.test.ts</x:v>
      </x:c>
      <x:c r="D98" s="221" t="str">
        <x:v>Auditoria - Deve salvar registros de auditoria no banco ao criar/alterar configurações globais</x:v>
      </x:c>
      <x:c r="E98" s="221" t="str">
        <x:v>Não</x:v>
      </x:c>
      <x:c r="F98" s="221" t="str">
        <x:v>Não executado nesta auditoria</x:v>
      </x:c>
    </x:row>
    <x:row r="99" ht="15" hidden="0" customHeight="1">
      <x:c r="A99" s="179" t="n">
        <x:v>93</x:v>
      </x:c>
      <x:c r="B99" s="221" t="str">
        <x:v>Integração</x:v>
      </x:c>
      <x:c r="C99" s="221" t="str">
        <x:v>server/tests/system_prompts.test.ts</x:v>
      </x:c>
      <x:c r="D99" s="221" t="str">
        <x:v>GET /api/system-prompts/active - Deve retornar o prompt ativo atual</x:v>
      </x:c>
      <x:c r="E99" s="221" t="str">
        <x:v>Não</x:v>
      </x:c>
      <x:c r="F99" s="221" t="str">
        <x:v>Não executado nesta auditoria</x:v>
      </x:c>
    </x:row>
    <x:row r="100" ht="15" hidden="0" customHeight="1">
      <x:c r="A100" s="179" t="n">
        <x:v>94</x:v>
      </x:c>
      <x:c r="B100" s="221" t="str">
        <x:v>Integração</x:v>
      </x:c>
      <x:c r="C100" s="221" t="str">
        <x:v>server/tests/system_prompts.test.ts</x:v>
      </x:c>
      <x:c r="D100" s="221" t="str">
        <x:v>POST /api/system-prompts - Deve recusar atualização por usuário SOLICITANTE</x:v>
      </x:c>
      <x:c r="E100" s="221" t="str">
        <x:v>Não</x:v>
      </x:c>
      <x:c r="F100" s="221" t="str">
        <x:v>Não executado nesta auditoria</x:v>
      </x:c>
    </x:row>
    <x:row r="101" ht="15" hidden="0" customHeight="1">
      <x:c r="A101" s="179" t="n">
        <x:v>95</x:v>
      </x:c>
      <x:c r="B101" s="221" t="str">
        <x:v>Integração</x:v>
      </x:c>
      <x:c r="C101" s="221" t="str">
        <x:v>server/tests/system_prompts.test.ts</x:v>
      </x:c>
      <x:c r="D101" s="221" t="str">
        <x:v>POST /api/system-prompts - Deve salvar novo prompt como ADMIN e torná-lo ativo</x:v>
      </x:c>
      <x:c r="E101" s="221" t="str">
        <x:v>Não</x:v>
      </x:c>
      <x:c r="F101" s="221" t="str">
        <x:v>Não executado nesta auditoria</x:v>
      </x:c>
    </x:row>
    <x:row r="102" ht="15" hidden="0" customHeight="1">
      <x:c r="A102" s="179" t="n">
        <x:v>96</x:v>
      </x:c>
      <x:c r="B102" s="221" t="str">
        <x:v>Integração</x:v>
      </x:c>
      <x:c r="C102" s="221" t="str">
        <x:v>server/tests/validation.test.ts</x:v>
      </x:c>
      <x:c r="D102" s="221" t="str">
        <x:v>Motor de Validação - Nomenclatura Unix Válida (5.1.1)</x:v>
      </x:c>
      <x:c r="E102" s="221" t="str">
        <x:v>Não</x:v>
      </x:c>
      <x:c r="F102" s="221" t="str">
        <x:v>Não executado nesta auditoria</x:v>
      </x:c>
    </x:row>
    <x:row r="103" ht="15" hidden="0" customHeight="1">
      <x:c r="A103" s="179" t="n">
        <x:v>97</x:v>
      </x:c>
      <x:c r="B103" s="221" t="str">
        <x:v>Integração</x:v>
      </x:c>
      <x:c r="C103" s="221" t="str">
        <x:v>server/tests/validation.test.ts</x:v>
      </x:c>
      <x:c r="D103" s="221" t="str">
        <x:v>Motor de Validação - Nomenclatura Unix Inválida (5.1.1 - Sem prefixo correto)</x:v>
      </x:c>
      <x:c r="E103" s="221" t="str">
        <x:v>Não</x:v>
      </x:c>
      <x:c r="F103" s="221" t="str">
        <x:v>Não executado nesta auditoria</x:v>
      </x:c>
    </x:row>
    <x:row r="104" ht="15" hidden="0" customHeight="1">
      <x:c r="A104" s="179" t="n">
        <x:v>98</x:v>
      </x:c>
      <x:c r="B104" s="221" t="str">
        <x:v>Integração</x:v>
      </x:c>
      <x:c r="C104" s="221" t="str">
        <x:v>server/tests/validation.test.ts</x:v>
      </x:c>
      <x:c r="D104" s="221" t="str">
        <x:v>Motor de Validação - Application não é usada como nome de arquivo</x:v>
      </x:c>
      <x:c r="E104" s="221" t="str">
        <x:v>Não</x:v>
      </x:c>
      <x:c r="F104" s="221" t="str">
        <x:v>Não executado nesta auditoria</x:v>
      </x:c>
    </x:row>
    <x:row r="105" ht="15" hidden="0" customHeight="1">
      <x:c r="A105" s="179" t="n">
        <x:v>99</x:v>
      </x:c>
      <x:c r="B105" s="221" t="str">
        <x:v>Integração</x:v>
      </x:c>
      <x:c r="C105" s="221" t="str">
        <x:v>server/tests/validation.test.ts</x:v>
      </x:c>
      <x:c r="D105" s="221" t="str">
        <x:v>Checklist Application - Tipos 3 e 10 não validam Application como file_name</x:v>
      </x:c>
      <x:c r="E105" s="221" t="str">
        <x:v>Não</x:v>
      </x:c>
      <x:c r="F105" s="221" t="str">
        <x:v>Não executado nesta auditoria</x:v>
      </x:c>
    </x:row>
    <x:row r="106" ht="15" hidden="0" customHeight="1">
      <x:c r="A106" s="179" t="n">
        <x:v>100</x:v>
      </x:c>
      <x:c r="B106" s="221" t="str">
        <x:v>Integração</x:v>
      </x:c>
      <x:c r="C106" s="221" t="str">
        <x:v>server/tests/validation.test.ts</x:v>
      </x:c>
      <x:c r="D106" s="221" t="str">
        <x:v>Motor de Validação - Nomenclatura Unix Inválida (5.1.1 - Tamanho &gt; 36)</x:v>
      </x:c>
      <x:c r="E106" s="221" t="str">
        <x:v>Não</x:v>
      </x:c>
      <x:c r="F106" s="221" t="str">
        <x:v>Não executado nesta auditoria</x:v>
      </x:c>
    </x:row>
    <x:row r="107" ht="15" hidden="0" customHeight="1">
      <x:c r="A107" s="179" t="n">
        <x:v>101</x:v>
      </x:c>
      <x:c r="B107" s="221" t="str">
        <x:v>Integração</x:v>
      </x:c>
      <x:c r="C107" s="221" t="str">
        <x:v>server/tests/validation.test.ts</x:v>
      </x:c>
      <x:c r="D107" s="221" t="str">
        <x:v>Motor de Validação - Exceção Unix ShellScript &lt;= 16 chars (5.1.1)</x:v>
      </x:c>
      <x:c r="E107" s="221" t="str">
        <x:v>Não</x:v>
      </x:c>
      <x:c r="F107" s="221" t="str">
        <x:v>Não executado nesta auditoria</x:v>
      </x:c>
    </x:row>
    <x:row r="108" ht="15" hidden="0" customHeight="1">
      <x:c r="A108" s="179" t="n">
        <x:v>102</x:v>
      </x:c>
      <x:c r="B108" s="221" t="str">
        <x:v>Integração</x:v>
      </x:c>
      <x:c r="C108" s="221" t="str">
        <x:v>server/tests/validation.test.ts</x:v>
      </x:c>
      <x:c r="D108" s="221" t="str">
        <x:v>Motor de Validação - Exceção Unix ShellScript &gt; 16 chars (5.1.1)</x:v>
      </x:c>
      <x:c r="E108" s="221" t="str">
        <x:v>Não</x:v>
      </x:c>
      <x:c r="F108" s="221" t="str">
        <x:v>Não executado nesta auditoria</x:v>
      </x:c>
    </x:row>
    <x:row r="109" ht="15" hidden="0" customHeight="1">
      <x:c r="A109" s="179" t="n">
        <x:v>103</x:v>
      </x:c>
      <x:c r="B109" s="221" t="str">
        <x:v>Integração</x:v>
      </x:c>
      <x:c r="C109" s="221" t="str">
        <x:v>server/tests/validation.test.ts</x:v>
      </x:c>
      <x:c r="D109" s="221" t="str">
        <x:v>Motor de Validação - Exceção Unix JAR &lt;= 18 chars id (5.1.1)</x:v>
      </x:c>
      <x:c r="E109" s="221" t="str">
        <x:v>Não</x:v>
      </x:c>
      <x:c r="F109" s="221" t="str">
        <x:v>Não executado nesta auditoria</x:v>
      </x:c>
    </x:row>
    <x:row r="110" ht="15" hidden="0" customHeight="1">
      <x:c r="A110" s="179" t="n">
        <x:v>104</x:v>
      </x:c>
      <x:c r="B110" s="221" t="str">
        <x:v>Integração</x:v>
      </x:c>
      <x:c r="C110" s="221" t="str">
        <x:v>server/tests/validation.test.ts</x:v>
      </x:c>
      <x:c r="D110" s="221" t="str">
        <x:v>Motor de Validação - Exceção Unix JAR &gt; 18 chars id (5.1.1)</x:v>
      </x:c>
      <x:c r="E110" s="221" t="str">
        <x:v>Não</x:v>
      </x:c>
      <x:c r="F110" s="221" t="str">
        <x:v>Não executado nesta auditoria</x:v>
      </x:c>
    </x:row>
    <x:row r="111" ht="15" hidden="0" customHeight="1">
      <x:c r="A111" s="179" t="n">
        <x:v>105</x:v>
      </x:c>
      <x:c r="B111" s="221" t="str">
        <x:v>Integração</x:v>
      </x:c>
      <x:c r="C111" s="221" t="str">
        <x:v>server/tests/validation.test.ts</x:v>
      </x:c>
      <x:c r="D111" s="221" t="str">
        <x:v>Motor de Validação - Nomenclatura Windows Válida (5.1.2)</x:v>
      </x:c>
      <x:c r="E111" s="221" t="str">
        <x:v>Não</x:v>
      </x:c>
      <x:c r="F111" s="221" t="str">
        <x:v>Não executado nesta auditoria</x:v>
      </x:c>
    </x:row>
    <x:row r="112" ht="15" hidden="0" customHeight="1">
      <x:c r="A112" s="179" t="n">
        <x:v>106</x:v>
      </x:c>
      <x:c r="B112" s="221" t="str">
        <x:v>Integração</x:v>
      </x:c>
      <x:c r="C112" s="221" t="str">
        <x:v>server/tests/validation.test.ts</x:v>
      </x:c>
      <x:c r="D112" s="221" t="str">
        <x:v>Motor de Validação - Nomenclatura Mainframe Válida (5.1.3)</x:v>
      </x:c>
      <x:c r="E112" s="221" t="str">
        <x:v>Não</x:v>
      </x:c>
      <x:c r="F112" s="221" t="str">
        <x:v>Não executado nesta auditoria</x:v>
      </x:c>
    </x:row>
    <x:row r="113" ht="15" hidden="0" customHeight="1">
      <x:c r="A113" s="179" t="n">
        <x:v>107</x:v>
      </x:c>
      <x:c r="B113" s="221" t="str">
        <x:v>Integração</x:v>
      </x:c>
      <x:c r="C113" s="221" t="str">
        <x:v>server/tests/validation.test.ts</x:v>
      </x:c>
      <x:c r="D113" s="221" t="str">
        <x:v>Motor de Validação - Objeto Procedural SQL e Nome do Objeto (5.2 / 5.2.1)</x:v>
      </x:c>
      <x:c r="E113" s="221" t="str">
        <x:v>Não</x:v>
      </x:c>
      <x:c r="F113" s="221" t="str">
        <x:v>Não executado nesta auditoria</x:v>
      </x:c>
    </x:row>
    <x:row r="114" ht="15" hidden="0" customHeight="1">
      <x:c r="A114" s="179" t="n">
        <x:v>108</x:v>
      </x:c>
      <x:c r="B114" s="221" t="str">
        <x:v>Integração</x:v>
      </x:c>
      <x:c r="C114" s="221" t="str">
        <x:v>server/tests/validation.test.ts</x:v>
      </x:c>
      <x:c r="D114" s="221" t="str">
        <x:v>Motor de Validação - Objeto Procedural SQL Inválido (5.2)</x:v>
      </x:c>
      <x:c r="E114" s="221" t="str">
        <x:v>Não</x:v>
      </x:c>
      <x:c r="F114" s="221" t="str">
        <x:v>Não executado nesta auditoria</x:v>
      </x:c>
    </x:row>
    <x:row r="115" ht="15" hidden="0" customHeight="1">
      <x:c r="A115" s="179" t="n">
        <x:v>109</x:v>
      </x:c>
      <x:c r="B115" s="221" t="str">
        <x:v>Integração</x:v>
      </x:c>
      <x:c r="C115" s="221" t="str">
        <x:v>server/tests/validation.test.ts</x:v>
      </x:c>
      <x:c r="D115" s="221" t="str">
        <x:v>Motor de Validação - Fita Magnética Windows/Unix Válida (5.3.1)</x:v>
      </x:c>
      <x:c r="E115" s="221" t="str">
        <x:v>Não</x:v>
      </x:c>
      <x:c r="F115" s="221" t="str">
        <x:v>Não executado nesta auditoria</x:v>
      </x:c>
    </x:row>
    <x:row r="116" ht="15" hidden="0" customHeight="1">
      <x:c r="A116" s="179" t="n">
        <x:v>110</x:v>
      </x:c>
      <x:c r="B116" s="221" t="str">
        <x:v>Integração</x:v>
      </x:c>
      <x:c r="C116" s="221" t="str">
        <x:v>server/tests/validation.test.ts</x:v>
      </x:c>
      <x:c r="D116" s="221" t="str">
        <x:v>Motor de Validação - Fita Magnética Unix Banco de Dados Válida (5.3.2)</x:v>
      </x:c>
      <x:c r="E116" s="221" t="str">
        <x:v>Não</x:v>
      </x:c>
      <x:c r="F116" s="221" t="str">
        <x:v>Não executado nesta auditoria</x:v>
      </x:c>
    </x:row>
    <x:row r="117" ht="15" hidden="0" customHeight="1">
      <x:c r="A117" s="179" t="n">
        <x:v>111</x:v>
      </x:c>
      <x:c r="B117" s="221" t="str">
        <x:v>Integração</x:v>
      </x:c>
      <x:c r="C117" s="221" t="str">
        <x:v>server/tests/validation.test.ts</x:v>
      </x:c>
      <x:c r="D117" s="221" t="str">
        <x:v>Motor de Validação - Connect:Direct Envio Válido (5.4.1)</x:v>
      </x:c>
      <x:c r="E117" s="221" t="str">
        <x:v>Não</x:v>
      </x:c>
      <x:c r="F117" s="221" t="str">
        <x:v>Não executado nesta auditoria</x:v>
      </x:c>
    </x:row>
    <x:row r="118" ht="15" hidden="0" customHeight="1">
      <x:c r="A118" s="179" t="n">
        <x:v>112</x:v>
      </x:c>
      <x:c r="B118" s="221" t="str">
        <x:v>Integração</x:v>
      </x:c>
      <x:c r="C118" s="221" t="str">
        <x:v>server/tests/validation.test.ts</x:v>
      </x:c>
      <x:c r="D118" s="221" t="str">
        <x:v>Motor de Validação - Connect:Direct Recebimento Válido (5.4.2)</x:v>
      </x:c>
      <x:c r="E118" s="221" t="str">
        <x:v>Não</x:v>
      </x:c>
      <x:c r="F118" s="221" t="str">
        <x:v>Não executado nesta auditoria</x:v>
      </x:c>
    </x:row>
    <x:row r="119" ht="15" hidden="0" customHeight="1">
      <x:c r="A119" s="179" t="n">
        <x:v>113</x:v>
      </x:c>
      <x:c r="B119" s="221" t="str">
        <x:v>Integração</x:v>
      </x:c>
      <x:c r="C119" s="221" t="str">
        <x:v>server/tests/validation.test.ts</x:v>
      </x:c>
      <x:c r="D119" s="221" t="str">
        <x:v>Motor de Validação - Tipos de Dados e Required do Parâmetro Schema</x:v>
      </x:c>
      <x:c r="E119" s="221" t="str">
        <x:v>Não</x:v>
      </x:c>
      <x:c r="F119" s="221" t="str">
        <x:v>Não executado nesta auditoria</x:v>
      </x:c>
    </x:row>
    <x:row r="120" ht="15" hidden="0" customHeight="1">
      <x:c r="A120" s="179" t="n">
        <x:v>114</x:v>
      </x:c>
      <x:c r="B120" s="221" t="str">
        <x:v>Integração</x:v>
      </x:c>
      <x:c r="C120" s="221" t="str">
        <x:v>server/tests/validation.test.ts</x:v>
      </x:c>
      <x:c r="D120" s="221" t="str">
        <x:v>Motor de Validação - Dependência entre campos</x:v>
      </x:c>
      <x:c r="E120" s="221" t="str">
        <x:v>Não</x:v>
      </x:c>
      <x:c r="F120" s="221" t="str">
        <x:v>Não executado nesta auditoria</x:v>
      </x:c>
    </x:row>
    <x:row r="121" ht="15" hidden="0" customHeight="1">
      <x:c r="A121" s="179" t="n">
        <x:v>115</x:v>
      </x:c>
      <x:c r="B121" s="221" t="str">
        <x:v>Integração</x:v>
      </x:c>
      <x:c r="C121" s="221" t="str">
        <x:v>server/tests/validation.test.ts</x:v>
      </x:c>
      <x:c r="D121" s="221" t="str">
        <x:v>API POST /api/validate-checklist - Execução com Sucesso</x:v>
      </x:c>
      <x:c r="E121" s="221" t="str">
        <x:v>Não</x:v>
      </x:c>
      <x:c r="F121" s="221" t="str">
        <x:v>Não executado nesta auditoria</x:v>
      </x:c>
    </x:row>
    <x:row r="122" ht="15" hidden="0" customHeight="1">
      <x:c r="A122" s="179" t="n">
        <x:v>116</x:v>
      </x:c>
      <x:c r="B122" s="221" t="str">
        <x:v>Integração</x:v>
      </x:c>
      <x:c r="C122" s="221" t="str">
        <x:v>server/tests/validation.test.ts</x:v>
      </x:c>
      <x:c r="D122" s="221" t="str">
        <x:v>API POST /api/validate-checklist - Falha de validação bloqueante</x:v>
      </x:c>
      <x:c r="E122" s="221" t="str">
        <x:v>Não</x:v>
      </x:c>
      <x:c r="F122" s="221" t="str">
        <x:v>Não executado nesta auditoria</x:v>
      </x:c>
    </x:row>
    <x:row r="123" ht="15" hidden="0" customHeight="1">
      <x:c r="A123" s="179" t="n">
        <x:v>117</x:v>
      </x:c>
      <x:c r="B123" s="221" t="str">
        <x:v>Integração</x:v>
      </x:c>
      <x:c r="C123" s="221" t="str">
        <x:v>server/tests/validation.test.ts</x:v>
      </x:c>
      <x:c r="D123" s="221" t="str">
        <x:v>API POST /api/checklists - Salvamento gera status Concluído se passar na validação</x:v>
      </x:c>
      <x:c r="E123" s="221" t="str">
        <x:v>Não</x:v>
      </x:c>
      <x:c r="F123" s="221" t="str">
        <x:v>Não executado nesta auditoria</x:v>
      </x:c>
    </x:row>
    <x:row r="124" ht="24" hidden="0" customHeight="1">
      <x:c r="A124" s="179" t="n">
        <x:v>118</x:v>
      </x:c>
      <x:c r="B124" s="221" t="str">
        <x:v>Integração</x:v>
      </x:c>
      <x:c r="C124" s="221" t="str">
        <x:v>server/tests/validation.test.ts</x:v>
      </x:c>
      <x:c r="D124" s="221" t="str">
        <x:v>API POST /api/checklists - Salvamento força status Falha Validação se houver erro bloqueante</x:v>
      </x:c>
      <x:c r="E124" s="221" t="str">
        <x:v>Não</x:v>
      </x:c>
      <x:c r="F124" s="221" t="str">
        <x:v>Não executado nesta auditoria</x:v>
      </x:c>
    </x:row>
    <x:row r="125" ht="15" hidden="0" customHeight="1">
      <x:c r="A125" s="179" t="n">
        <x:v>119</x:v>
      </x:c>
      <x:c r="B125" s="221" t="str">
        <x:v>Integração</x:v>
      </x:c>
      <x:c r="C125" s="221" t="str">
        <x:v>server/tests/validation.test.ts</x:v>
      </x:c>
      <x:c r="D125" s="221" t="str">
        <x:v>Motor de Validação - Normalização Case-Insensitive dos Parâmetros</x:v>
      </x:c>
      <x:c r="E125" s="221" t="str">
        <x:v>Não</x:v>
      </x:c>
      <x:c r="F125" s="221" t="str">
        <x:v>Não executado nesta auditoria</x:v>
      </x:c>
    </x:row>
    <x:row r="126" ht="15" hidden="0" customHeight="1">
      <x:c r="A126" s="179" t="n">
        <x:v>120</x:v>
      </x:c>
      <x:c r="B126" s="221" t="str">
        <x:v>Unitário</x:v>
      </x:c>
      <x:c r="C126" s="221" t="str">
        <x:v>src/utils/commandBuilder.test.ts</x:v>
      </x:c>
      <x:c r="D126" s="221" t="str">
        <x:v>monta flags concatenadas e parâmetros posicionais entre aspas</x:v>
      </x:c>
      <x:c r="E126" s="221" t="str">
        <x:v>Sim</x:v>
      </x:c>
      <x:c r="F126" s="221" t="str">
        <x:v>Aprovado</x:v>
      </x:c>
    </x:row>
    <x:row r="127" ht="15" hidden="0" customHeight="1">
      <x:c r="A127" s="179" t="n">
        <x:v>121</x:v>
      </x:c>
      <x:c r="B127" s="221" t="str">
        <x:v>Unitário</x:v>
      </x:c>
      <x:c r="C127" s="221" t="str">
        <x:v>src/utils/commandBuilder.test.ts</x:v>
      </x:c>
      <x:c r="D127" s="221" t="str">
        <x:v>ignora parâmetros internos, gerados e exclusivamente documentais</x:v>
      </x:c>
      <x:c r="E127" s="221" t="str">
        <x:v>Sim</x:v>
      </x:c>
      <x:c r="F127" s="221" t="str">
        <x:v>Aprovado</x:v>
      </x:c>
    </x:row>
    <x:row r="128" ht="15" hidden="0" customHeight="1">
      <x:c r="A128" s="179" t="n">
        <x:v>122</x:v>
      </x:c>
      <x:c r="B128" s="221" t="str">
        <x:v>Unitário</x:v>
      </x:c>
      <x:c r="C128" s="221" t="str">
        <x:v>src/utils/commandBuilder.test.ts</x:v>
      </x:c>
      <x:c r="D128" s="221" t="str">
        <x:v>ignora valores ausentes ou vazios sem produzir espaços extras</x:v>
      </x:c>
      <x:c r="E128" s="221" t="str">
        <x:v>Sim</x:v>
      </x:c>
      <x:c r="F128" s="221" t="str">
        <x:v>Aprovado</x:v>
      </x:c>
    </x:row>
    <x:row r="129" ht="15" hidden="0" customHeight="1">
      <x:c r="A129" s="179" t="n">
        <x:v>123</x:v>
      </x:c>
      <x:c r="B129" s="221" t="str">
        <x:v>Unitário</x:v>
      </x:c>
      <x:c r="C129" s="221" t="str">
        <x:v>src/utils/commandBuilder.test.ts</x:v>
      </x:c>
      <x:c r="D129" s="221" t="str">
        <x:v>preserva a ordem declarada dos parâmetros</x:v>
      </x:c>
      <x:c r="E129" s="221" t="str">
        <x:v>Sim</x:v>
      </x:c>
      <x:c r="F129" s="221" t="str">
        <x:v>Aprovado</x:v>
      </x:c>
    </x:row>
    <x:row r="130" ht="15" hidden="0" customHeight="1">
      <x:c r="A130" s="179" t="n">
        <x:v>124</x:v>
      </x:c>
      <x:c r="B130" s="221" t="str">
        <x:v>Unitário</x:v>
      </x:c>
      <x:c r="C130" s="221" t="str">
        <x:v>src/utils/validationPresentation.test.ts</x:v>
      </x:c>
      <x:c r="D130" s="221" t="str">
        <x:v>identifica avisos de catálogo ainda não configurado</x:v>
      </x:c>
      <x:c r="E130" s="221" t="str">
        <x:v>Sim</x:v>
      </x:c>
      <x:c r="F130" s="221" t="str">
        <x:v>Aprovado</x:v>
      </x:c>
    </x:row>
    <x:row r="131" ht="15" hidden="0" customHeight="1">
      <x:c r="A131" s="179" t="n">
        <x:v>125</x:v>
      </x:c>
      <x:c r="B131" s="221" t="str">
        <x:v>Unitário</x:v>
      </x:c>
      <x:c r="C131" s="221" t="str">
        <x:v>src/utils/validationPresentation.test.ts</x:v>
      </x:c>
      <x:c r="D131" s="221" t="str">
        <x:v>mantém outros avisos para a apresentação ao usuário</x:v>
      </x:c>
      <x:c r="E131" s="221" t="str">
        <x:v>Sim</x:v>
      </x:c>
      <x:c r="F131" s="221" t="str">
        <x:v>Aprovado</x:v>
      </x:c>
    </x:row>
  </x:sheetData>
  <x:mergeCells>
    <x:mergeCell ref="A1:F2"/>
    <x:mergeCell ref="A3:F3"/>
  </x:mergeCells>
  <x:conditionalFormatting sqref="F7:F131">
    <x:cfRule type="containsText" dxfId="6" priority="1" operator="containsText" text="Aprovado"/>
    <x:cfRule type="containsText" dxfId="7" priority="2" operator="containsText" text="Ignorado"/>
    <x:cfRule type="containsText" dxfId="8" priority="3" operator="containsText" text="Não executado"/>
  </x:conditionalFormatting>
  <x:pageMargins left="0.7" right="0.7" top="0.75" bottom="0.75" header="0.3" footer="0.3"/>
  <x:tableParts count="1">
    <x:tablePart xmlns:r="http://schemas.openxmlformats.org/officeDocument/2006/relationships" r:id="Rc6051d3d877146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35" hidden="0" customWidth="1"/>
    <x:col min="5" max="5" width="24" hidden="0" customWidth="1"/>
    <x:col min="6" max="6" width="42" hidden="0" customWidth="1"/>
    <x:col min="7" max="7" width="35" hidden="0" customWidth="1"/>
    <x:col min="8" max="8" width="40" hidden="0" customWidth="1"/>
    <x:col min="9" max="9" width="44" hidden="0" customWidth="1"/>
    <x:col min="10" max="10" width="20" hidden="0" customWidth="1"/>
    <x:col min="11" max="11" width="40" hidden="0" customWidth="1"/>
    <x:col min="12" max="12" width="16" hidden="0" customWidth="1"/>
  </x:cols>
  <x:sheetData>
    <x:row r="1" ht="30" customHeight="1">
      <x:c r="A1" s="225" t="str">
        <x:v>Lacunas e Cenários Priorizados</x:v>
      </x:c>
      <x:c r="B1" s="225" t="str">
        <x:v>Lacunas e Cenários Priorizados</x:v>
      </x:c>
      <x:c r="C1" s="225" t="str">
        <x:v>Lacunas e Cenários Priorizados</x:v>
      </x:c>
      <x:c r="D1" s="225" t="str">
        <x:v>Lacunas e Cenários Priorizados</x:v>
      </x:c>
      <x:c r="E1" s="225" t="str">
        <x:v>Lacunas e Cenários Priorizados</x:v>
      </x:c>
      <x:c r="F1" s="225" t="str">
        <x:v>Lacunas e Cenários Priorizados</x:v>
      </x:c>
      <x:c r="G1" s="225" t="str">
        <x:v>Lacunas e Cenários Priorizados</x:v>
      </x:c>
      <x:c r="H1" s="225" t="str">
        <x:v>Lacunas e Cenários Priorizados</x:v>
      </x:c>
      <x:c r="I1" s="225" t="str">
        <x:v>Lacunas e Cenários Priorizados</x:v>
      </x:c>
      <x:c r="J1" s="225" t="str">
        <x:v>Lacunas e Cenários Priorizados</x:v>
      </x:c>
      <x:c r="K1" s="225" t="str">
        <x:v>Lacunas e Cenários Priorizados</x:v>
      </x:c>
      <x:c r="L1" s="225" t="str">
        <x:v>Lacunas e Cenários Priorizados</x:v>
      </x:c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  <x:c r="W1" s="227"/>
      <x:c r="X1" s="227"/>
      <x:c r="Y1" s="227"/>
      <x:c r="Z1" s="227"/>
    </x:row>
    <x:row r="2" ht="30" customHeight="1">
      <x:c r="A2" s="225" t="str">
        <x:v>Lacunas e Cenários Priorizados</x:v>
      </x:c>
      <x:c r="B2" s="225" t="str">
        <x:v>Lacunas e Cenários Priorizados</x:v>
      </x:c>
      <x:c r="C2" s="225" t="str">
        <x:v>Lacunas e Cenários Priorizados</x:v>
      </x:c>
      <x:c r="D2" s="225" t="str">
        <x:v>Lacunas e Cenários Priorizados</x:v>
      </x:c>
      <x:c r="E2" s="225" t="str">
        <x:v>Lacunas e Cenários Priorizados</x:v>
      </x:c>
      <x:c r="F2" s="225" t="str">
        <x:v>Lacunas e Cenários Priorizados</x:v>
      </x:c>
      <x:c r="G2" s="225" t="str">
        <x:v>Lacunas e Cenários Priorizados</x:v>
      </x:c>
      <x:c r="H2" s="225" t="str">
        <x:v>Lacunas e Cenários Priorizados</x:v>
      </x:c>
      <x:c r="I2" s="225" t="str">
        <x:v>Lacunas e Cenários Priorizados</x:v>
      </x:c>
      <x:c r="J2" s="225" t="str">
        <x:v>Lacunas e Cenários Priorizados</x:v>
      </x:c>
      <x:c r="K2" s="225" t="str">
        <x:v>Lacunas e Cenários Priorizados</x:v>
      </x:c>
      <x:c r="L2" s="225" t="str">
        <x:v>Lacunas e Cenários Priorizados</x:v>
      </x:c>
      <x:c r="M2" s="227"/>
      <x:c r="N2" s="227"/>
      <x:c r="O2" s="227"/>
      <x:c r="P2" s="227"/>
      <x:c r="Q2" s="227"/>
      <x:c r="R2" s="227"/>
      <x:c r="S2" s="227"/>
      <x:c r="T2" s="227"/>
      <x:c r="U2" s="227"/>
      <x:c r="V2" s="227"/>
      <x:c r="W2" s="227"/>
      <x:c r="X2" s="227"/>
      <x:c r="Y2" s="227"/>
      <x:c r="Z2" s="227"/>
    </x:row>
    <x:row r="3" ht="15" hidden="0" customHeight="1">
      <x:c r="A3" s="181" t="str">
        <x:v>Backlog proposto para completar a cobertura de risco. Status e responsável são editáveis; use filtros para planejar sprints.</x:v>
      </x:c>
      <x:c r="B3" s="181" t="str">
        <x:v>Backlog proposto para completar a cobertura de risco. Status e responsável são editáveis; use filtros para planejar sprints.</x:v>
      </x:c>
      <x:c r="C3" s="181" t="str">
        <x:v>Backlog proposto para completar a cobertura de risco. Status e responsável são editáveis; use filtros para planejar sprints.</x:v>
      </x:c>
      <x:c r="D3" s="181" t="str">
        <x:v>Backlog proposto para completar a cobertura de risco. Status e responsável são editáveis; use filtros para planejar sprints.</x:v>
      </x:c>
      <x:c r="E3" s="181" t="str">
        <x:v>Backlog proposto para completar a cobertura de risco. Status e responsável são editáveis; use filtros para planejar sprints.</x:v>
      </x:c>
      <x:c r="F3" s="181" t="str">
        <x:v>Backlog proposto para completar a cobertura de risco. Status e responsável são editáveis; use filtros para planejar sprints.</x:v>
      </x:c>
      <x:c r="G3" s="181" t="str">
        <x:v>Backlog proposto para completar a cobertura de risco. Status e responsável são editáveis; use filtros para planejar sprints.</x:v>
      </x:c>
      <x:c r="H3" s="181" t="str">
        <x:v>Backlog proposto para completar a cobertura de risco. Status e responsável são editáveis; use filtros para planejar sprints.</x:v>
      </x:c>
      <x:c r="I3" s="181" t="str">
        <x:v>Backlog proposto para completar a cobertura de risco. Status e responsável são editáveis; use filtros para planejar sprints.</x:v>
      </x:c>
      <x:c r="J3" s="181" t="str">
        <x:v>Backlog proposto para completar a cobertura de risco. Status e responsável são editáveis; use filtros para planejar sprints.</x:v>
      </x:c>
      <x:c r="K3" s="181" t="str">
        <x:v>Backlog proposto para completar a cobertura de risco. Status e responsável são editáveis; use filtros para planejar sprints.</x:v>
      </x:c>
      <x:c r="L3" s="181" t="str">
        <x:v>Backlog proposto para completar a cobertura de risco. Status e responsável são editáveis; use filtros para planejar sprints.</x:v>
      </x:c>
    </x:row>
    <x:row r="4" ht="15" hidden="0" customHeight="1">
      <x:c r="A4" s="179"/>
      <x:c r="B4" s="179"/>
      <x:c r="C4" s="179"/>
      <x:c r="D4" s="179"/>
      <x:c r="E4" s="179"/>
      <x:c r="F4" s="179"/>
      <x:c r="G4" s="179"/>
      <x:c r="H4" s="179"/>
      <x:c r="I4" s="179"/>
      <x:c r="J4" s="179"/>
      <x:c r="K4" s="179"/>
      <x:c r="L4" s="179"/>
    </x:row>
    <x:row r="5" ht="15" hidden="0" customHeight="1">
      <x:c r="A5" s="179"/>
      <x:c r="B5" s="179"/>
      <x:c r="C5" s="179"/>
      <x:c r="D5" s="179"/>
      <x:c r="E5" s="179"/>
      <x:c r="F5" s="179"/>
      <x:c r="G5" s="179"/>
      <x:c r="H5" s="179"/>
      <x:c r="I5" s="179"/>
      <x:c r="J5" s="179"/>
      <x:c r="K5" s="179"/>
      <x:c r="L5" s="179"/>
    </x:row>
    <x:row r="6" ht="15" hidden="0" customHeight="1">
      <x:c r="A6" s="198" t="str">
        <x:v>ID</x:v>
      </x:c>
      <x:c r="B6" s="199" t="str">
        <x:v>Prioridade</x:v>
      </x:c>
      <x:c r="C6" s="199" t="str">
        <x:v>Camada</x:v>
      </x:c>
      <x:c r="D6" s="199" t="str">
        <x:v>Módulo</x:v>
      </x:c>
      <x:c r="E6" s="199" t="str">
        <x:v>Função / rota</x:v>
      </x:c>
      <x:c r="F6" s="199" t="str">
        <x:v>Cenário</x:v>
      </x:c>
      <x:c r="G6" s="199" t="str">
        <x:v>Pré-condições / mocks</x:v>
      </x:c>
      <x:c r="H6" s="199" t="str">
        <x:v>Passos / entrada</x:v>
      </x:c>
      <x:c r="I6" s="199" t="str">
        <x:v>Resultado esperado</x:v>
      </x:c>
      <x:c r="J6" s="199" t="str">
        <x:v>Tipo sugerido</x:v>
      </x:c>
      <x:c r="K6" s="199" t="str">
        <x:v>Arquivo sugerido</x:v>
      </x:c>
      <x:c r="L6" s="200" t="str">
        <x:v>Status</x:v>
      </x:c>
    </x:row>
    <x:row r="7" ht="24" hidden="0" customHeight="1">
      <x:c r="A7" s="179" t="str">
        <x:v>CT-001</x:v>
      </x:c>
      <x:c r="B7" s="221" t="str">
        <x:v>P0</x:v>
      </x:c>
      <x:c r="C7" s="221" t="str">
        <x:v>Backend / Rotas</x:v>
      </x:c>
      <x:c r="D7" s="221" t="str">
        <x:v>server/routes/checklists.ts</x:v>
      </x:c>
      <x:c r="E7" s="221" t="str">
        <x:v>GET /api/checklists</x:v>
      </x:c>
      <x:c r="F7" s="221" t="str">
        <x:v>isolar dados por papel e impedir filtro de terceiro</x:v>
      </x:c>
      <x:c r="G7" s="221" t="str">
        <x:v>JWTs de SOLICITANTE e OPERADOR; pool mockado</x:v>
      </x:c>
      <x:c r="H7" s="221" t="str">
        <x:v>consultar com cada papel e filtro user_id</x:v>
      </x:c>
      <x:c r="I7" s="221" t="str">
        <x:v>SOLICITANTE vê somente próprios registros; OPERADOR segue política</x:v>
      </x:c>
      <x:c r="J7" s="221" t="str">
        <x:v>Unitário com supertest</x:v>
      </x:c>
      <x:c r="K7" s="221" t="str">
        <x:v>server/tests/checklists.unit.test.ts</x:v>
      </x:c>
      <x:c r="L7" s="221" t="str">
        <x:v>Pendente</x:v>
      </x:c>
    </x:row>
    <x:row r="8" ht="15" hidden="0" customHeight="1">
      <x:c r="A8" s="179" t="str">
        <x:v>CT-002</x:v>
      </x:c>
      <x:c r="B8" s="221" t="str">
        <x:v>P0</x:v>
      </x:c>
      <x:c r="C8" s="221" t="str">
        <x:v>Backend / Rotas</x:v>
      </x:c>
      <x:c r="D8" s="221" t="str">
        <x:v>server/routes/checklists.ts</x:v>
      </x:c>
      <x:c r="E8" s="221" t="str">
        <x:v>POST /api/checklists</x:v>
      </x:c>
      <x:c r="F8" s="221" t="str">
        <x:v>derivar user_id do JWT e ignorar valor do payload</x:v>
      </x:c>
      <x:c r="G8" s="221" t="str">
        <x:v>usuário autenticado; validação mockada</x:v>
      </x:c>
      <x:c r="H8" s="221" t="str">
        <x:v>enviar user_id de terceiro no corpo</x:v>
      </x:c>
      <x:c r="I8" s="221" t="str">
        <x:v>persistência usa somente o usuário autenticado</x:v>
      </x:c>
      <x:c r="J8" s="221" t="str">
        <x:v>Unitário com supertest</x:v>
      </x:c>
      <x:c r="K8" s="221" t="str">
        <x:v>server/tests/checklists.unit.test.ts</x:v>
      </x:c>
      <x:c r="L8" s="221" t="str">
        <x:v>Pendente</x:v>
      </x:c>
    </x:row>
    <x:row r="9" ht="15" hidden="0" customHeight="1">
      <x:c r="A9" s="179" t="str">
        <x:v>CT-003</x:v>
      </x:c>
      <x:c r="B9" s="221" t="str">
        <x:v>P0</x:v>
      </x:c>
      <x:c r="C9" s="221" t="str">
        <x:v>Backend / Rotas</x:v>
      </x:c>
      <x:c r="D9" s="221" t="str">
        <x:v>server/routes/checklists.ts</x:v>
      </x:c>
      <x:c r="E9" s="221" t="str">
        <x:v>POST /api/checklists</x:v>
      </x:c>
      <x:c r="F9" s="221" t="str">
        <x:v>tratar validação bloqueante e status final</x:v>
      </x:c>
      <x:c r="G9" s="221" t="str">
        <x:v>motor mockado com erros bloqueantes</x:v>
      </x:c>
      <x:c r="H9" s="221" t="str">
        <x:v>criar checklist inválido</x:v>
      </x:c>
      <x:c r="I9" s="221" t="str">
        <x:v>retorna erro controlado e não confirma transação indevida</x:v>
      </x:c>
      <x:c r="J9" s="221" t="str">
        <x:v>Unitário com supertest</x:v>
      </x:c>
      <x:c r="K9" s="221" t="str">
        <x:v>server/tests/checklists.unit.test.ts</x:v>
      </x:c>
      <x:c r="L9" s="221" t="str">
        <x:v>Pendente</x:v>
      </x:c>
    </x:row>
    <x:row r="10" ht="15" hidden="0" customHeight="1">
      <x:c r="A10" s="179" t="str">
        <x:v>CT-004</x:v>
      </x:c>
      <x:c r="B10" s="221" t="str">
        <x:v>P0</x:v>
      </x:c>
      <x:c r="C10" s="221" t="str">
        <x:v>Backend / Rotas</x:v>
      </x:c>
      <x:c r="D10" s="221" t="str">
        <x:v>server/routes/checklists.ts</x:v>
      </x:c>
      <x:c r="E10" s="221" t="str">
        <x:v>GET /:id/pdf</x:v>
      </x:c>
      <x:c r="F10" s="221" t="str">
        <x:v>autorizar proprietário e bloquear terceiro</x:v>
      </x:c>
      <x:c r="G10" s="221" t="str">
        <x:v>BD/pool e pdfService mockados</x:v>
      </x:c>
      <x:c r="H10" s="221" t="str">
        <x:v>baixar PDF próprio e de terceiro</x:v>
      </x:c>
      <x:c r="I10" s="221" t="str">
        <x:v>200 para proprietário; 403/404 para terceiro</x:v>
      </x:c>
      <x:c r="J10" s="221" t="str">
        <x:v>Unitário com mocks</x:v>
      </x:c>
      <x:c r="K10" s="221" t="str">
        <x:v>server/tests/checklists.unit.test.ts</x:v>
      </x:c>
      <x:c r="L10" s="221" t="str">
        <x:v>Pendente</x:v>
      </x:c>
    </x:row>
    <x:row r="11" ht="24" hidden="0" customHeight="1">
      <x:c r="A11" s="179" t="str">
        <x:v>CT-005</x:v>
      </x:c>
      <x:c r="B11" s="221" t="str">
        <x:v>P0</x:v>
      </x:c>
      <x:c r="C11" s="221" t="str">
        <x:v>Backend / Serviços</x:v>
      </x:c>
      <x:c r="D11" s="221" t="str">
        <x:v>server/services/validationEngine.ts</x:v>
      </x:c>
      <x:c r="E11" s="221" t="str">
        <x:v>validateChecklist</x:v>
      </x:c>
      <x:c r="F11" s="221" t="str">
        <x:v>sem regras publicadas</x:v>
      </x:c>
      <x:c r="G11" s="221" t="str">
        <x:v>pool retorna catálogo vazio</x:v>
      </x:c>
      <x:c r="H11" s="221" t="str">
        <x:v>validar payload mínimo</x:v>
      </x:c>
      <x:c r="I11" s="221" t="str">
        <x:v>resultado previsível sem falso bloqueio; aviso explícito quando aplicável</x:v>
      </x:c>
      <x:c r="J11" s="221" t="str">
        <x:v>Unitário</x:v>
      </x:c>
      <x:c r="K11" s="221" t="str">
        <x:v>server/tests/validationEngine.unit.test.ts</x:v>
      </x:c>
      <x:c r="L11" s="221" t="str">
        <x:v>Pendente</x:v>
      </x:c>
    </x:row>
    <x:row r="12" ht="15" hidden="0" customHeight="1">
      <x:c r="A12" s="179" t="str">
        <x:v>CT-006</x:v>
      </x:c>
      <x:c r="B12" s="221" t="str">
        <x:v>P0</x:v>
      </x:c>
      <x:c r="C12" s="221" t="str">
        <x:v>Backend / Serviços</x:v>
      </x:c>
      <x:c r="D12" s="221" t="str">
        <x:v>server/services/validationEngine.ts</x:v>
      </x:c>
      <x:c r="E12" s="221" t="str">
        <x:v>validateChecklist</x:v>
      </x:c>
      <x:c r="F12" s="221" t="str">
        <x:v>regras required, regex e dependência</x:v>
      </x:c>
      <x:c r="G12" s="221" t="str">
        <x:v>regras mockadas por tipo</x:v>
      </x:c>
      <x:c r="H12" s="221" t="str">
        <x:v>testar valor válido, ausente e incompatível</x:v>
      </x:c>
      <x:c r="I12" s="221" t="str">
        <x:v>erros têm código, campo, severidade e mensagem corretos</x:v>
      </x:c>
      <x:c r="J12" s="221" t="str">
        <x:v>Unitário parametrizado</x:v>
      </x:c>
      <x:c r="K12" s="221" t="str">
        <x:v>server/tests/validationEngine.unit.test.ts</x:v>
      </x:c>
      <x:c r="L12" s="221" t="str">
        <x:v>Pendente</x:v>
      </x:c>
    </x:row>
    <x:row r="13" ht="15" hidden="0" customHeight="1">
      <x:c r="A13" s="179" t="str">
        <x:v>CT-007</x:v>
      </x:c>
      <x:c r="B13" s="221" t="str">
        <x:v>P0</x:v>
      </x:c>
      <x:c r="C13" s="221" t="str">
        <x:v>Backend / Serviços</x:v>
      </x:c>
      <x:c r="D13" s="221" t="str">
        <x:v>server/services/validationEngine.ts</x:v>
      </x:c>
      <x:c r="E13" s="221" t="str">
        <x:v>validateApplicationChecklist</x:v>
      </x:c>
      <x:c r="F13" s="221" t="str">
        <x:v>múltiplos jobs e nomes duplicados</x:v>
      </x:c>
      <x:c r="G13" s="221" t="str">
        <x:v>catálogo e regras mockados</x:v>
      </x:c>
      <x:c r="H13" s="221" t="str">
        <x:v>validar aplicação com 2+ jobs</x:v>
      </x:c>
      <x:c r="I13" s="221" t="str">
        <x:v>agrega erros com prefixo por job e preserva ordem</x:v>
      </x:c>
      <x:c r="J13" s="221" t="str">
        <x:v>Unitário</x:v>
      </x:c>
      <x:c r="K13" s="221" t="str">
        <x:v>server/tests/validationEngine.unit.test.ts</x:v>
      </x:c>
      <x:c r="L13" s="221" t="str">
        <x:v>Pendente</x:v>
      </x:c>
    </x:row>
    <x:row r="14" ht="15" hidden="0" customHeight="1">
      <x:c r="A14" s="179" t="str">
        <x:v>CT-008</x:v>
      </x:c>
      <x:c r="B14" s="221" t="str">
        <x:v>P0</x:v>
      </x:c>
      <x:c r="C14" s="221" t="str">
        <x:v>Backend / Middleware</x:v>
      </x:c>
      <x:c r="D14" s="221" t="str">
        <x:v>server/middleware/auth.ts</x:v>
      </x:c>
      <x:c r="E14" s="221" t="str">
        <x:v>requireAuth</x:v>
      </x:c>
      <x:c r="F14" s="221" t="str">
        <x:v>token ausente, malformado, expirado e usuário inativo</x:v>
      </x:c>
      <x:c r="G14" s="221" t="str">
        <x:v>JWT/pool mockados</x:v>
      </x:c>
      <x:c r="H14" s="221" t="str">
        <x:v>executar middleware em cada condição</x:v>
      </x:c>
      <x:c r="I14" s="221" t="str">
        <x:v>401 consistente; next somente para token e usuário válidos</x:v>
      </x:c>
      <x:c r="J14" s="221" t="str">
        <x:v>Unitário</x:v>
      </x:c>
      <x:c r="K14" s="221" t="str">
        <x:v>server/tests/authMiddleware.unit.test.ts</x:v>
      </x:c>
      <x:c r="L14" s="221" t="str">
        <x:v>Pendente</x:v>
      </x:c>
    </x:row>
    <x:row r="15" ht="15" hidden="0" customHeight="1">
      <x:c r="A15" s="179" t="str">
        <x:v>CT-009</x:v>
      </x:c>
      <x:c r="B15" s="221" t="str">
        <x:v>P0</x:v>
      </x:c>
      <x:c r="C15" s="221" t="str">
        <x:v>Backend / Middleware</x:v>
      </x:c>
      <x:c r="D15" s="221" t="str">
        <x:v>server/middleware/auth.ts</x:v>
      </x:c>
      <x:c r="E15" s="221" t="str">
        <x:v>requireRole / requireOwnership</x:v>
      </x:c>
      <x:c r="F15" s="221" t="str">
        <x:v>matriz ADMIN, OPERADOR, SOLICITANTE e recurso alheio</x:v>
      </x:c>
      <x:c r="G15" s="221" t="str">
        <x:v>requisições mockadas</x:v>
      </x:c>
      <x:c r="H15" s="221" t="str">
        <x:v>variar papel e proprietário</x:v>
      </x:c>
      <x:c r="I15" s="221" t="str">
        <x:v>403 para combinações proibidas; next para permitidas</x:v>
      </x:c>
      <x:c r="J15" s="221" t="str">
        <x:v>Unitário parametrizado</x:v>
      </x:c>
      <x:c r="K15" s="221" t="str">
        <x:v>server/tests/authMiddleware.unit.test.ts</x:v>
      </x:c>
      <x:c r="L15" s="221" t="str">
        <x:v>Pendente</x:v>
      </x:c>
    </x:row>
    <x:row r="16" ht="24" hidden="0" customHeight="1">
      <x:c r="A16" s="179" t="str">
        <x:v>CT-010</x:v>
      </x:c>
      <x:c r="B16" s="221" t="str">
        <x:v>P0</x:v>
      </x:c>
      <x:c r="C16" s="221" t="str">
        <x:v>Backend / Rotas</x:v>
      </x:c>
      <x:c r="D16" s="221" t="str">
        <x:v>server/routes/auth.ts</x:v>
      </x:c>
      <x:c r="E16" s="221" t="str">
        <x:v>POST /login</x:v>
      </x:c>
      <x:c r="F16" s="221" t="str">
        <x:v>credenciais ausentes, senha inválida e usuário inativo</x:v>
      </x:c>
      <x:c r="G16" s="221" t="str">
        <x:v>bcrypt/JWT/pool mockados</x:v>
      </x:c>
      <x:c r="H16" s="221" t="str">
        <x:v>executar três falhas e um sucesso</x:v>
      </x:c>
      <x:c r="I16" s="221" t="str">
        <x:v>401/400 sem revelar qual credencial falhou; tokens no sucesso</x:v>
      </x:c>
      <x:c r="J16" s="221" t="str">
        <x:v>Unitário com supertest</x:v>
      </x:c>
      <x:c r="K16" s="221" t="str">
        <x:v>server/tests/auth.unit.test.ts</x:v>
      </x:c>
      <x:c r="L16" s="221" t="str">
        <x:v>Pendente</x:v>
      </x:c>
    </x:row>
    <x:row r="17" ht="15" hidden="0" customHeight="1">
      <x:c r="A17" s="179" t="str">
        <x:v>CT-011</x:v>
      </x:c>
      <x:c r="B17" s="221" t="str">
        <x:v>P0</x:v>
      </x:c>
      <x:c r="C17" s="221" t="str">
        <x:v>Backend / Rotas</x:v>
      </x:c>
      <x:c r="D17" s="221" t="str">
        <x:v>server/routes/auth.ts</x:v>
      </x:c>
      <x:c r="E17" s="221" t="str">
        <x:v>POST /refresh e /logout</x:v>
      </x:c>
      <x:c r="F17" s="221" t="str">
        <x:v>refresh expirado, revogado, reutilizado e logout</x:v>
      </x:c>
      <x:c r="G17" s="221" t="str">
        <x:v>tokens/pool mockados</x:v>
      </x:c>
      <x:c r="H17" s="221" t="str">
        <x:v>executar ciclo e tentativas de reuso</x:v>
      </x:c>
      <x:c r="I17" s="221" t="str">
        <x:v>rotação/revogação consistente e transação encerrada</x:v>
      </x:c>
      <x:c r="J17" s="221" t="str">
        <x:v>Unitário com supertest</x:v>
      </x:c>
      <x:c r="K17" s="221" t="str">
        <x:v>server/tests/auth.unit.test.ts</x:v>
      </x:c>
      <x:c r="L17" s="221" t="str">
        <x:v>Pendente</x:v>
      </x:c>
    </x:row>
    <x:row r="18" ht="24" hidden="0" customHeight="1">
      <x:c r="A18" s="179" t="str">
        <x:v>CT-012</x:v>
      </x:c>
      <x:c r="B18" s="221" t="str">
        <x:v>P0</x:v>
      </x:c>
      <x:c r="C18" s="221" t="str">
        <x:v>Backend / Rotas</x:v>
      </x:c>
      <x:c r="D18" s="221" t="str">
        <x:v>server/routes/ai.ts</x:v>
      </x:c>
      <x:c r="E18" s="221" t="str">
        <x:v>POST /chat</x:v>
      </x:c>
      <x:c r="F18" s="221" t="str">
        <x:v>sanitizar mensagens e tratar falha/timeout do provedor</x:v>
      </x:c>
      <x:c r="G18" s="221" t="str">
        <x:v>cliente GenAI e pool mockados</x:v>
      </x:c>
      <x:c r="H18" s="221" t="str">
        <x:v>enviar payload válido, inválido e falha externa</x:v>
      </x:c>
      <x:c r="I18" s="221" t="str">
        <x:v>sem prompt injection estrutural; erro controlado; sem persistência parcial</x:v>
      </x:c>
      <x:c r="J18" s="221" t="str">
        <x:v>Unitário</x:v>
      </x:c>
      <x:c r="K18" s="221" t="str">
        <x:v>server/tests/ai.unit.test.ts</x:v>
      </x:c>
      <x:c r="L18" s="221" t="str">
        <x:v>Pendente</x:v>
      </x:c>
    </x:row>
    <x:row r="19" ht="15" hidden="0" customHeight="1">
      <x:c r="A19" s="179" t="str">
        <x:v>CT-013</x:v>
      </x:c>
      <x:c r="B19" s="221" t="str">
        <x:v>P0</x:v>
      </x:c>
      <x:c r="C19" s="221" t="str">
        <x:v>Backend / Rotas</x:v>
      </x:c>
      <x:c r="D19" s="221" t="str">
        <x:v>server/routes/ai.ts</x:v>
      </x:c>
      <x:c r="E19" s="221" t="str">
        <x:v>conversations/messages</x:v>
      </x:c>
      <x:c r="F19" s="221" t="str">
        <x:v>garantir propriedade da conversa</x:v>
      </x:c>
      <x:c r="G19" s="221" t="str">
        <x:v>dois usuários e pool mockado</x:v>
      </x:c>
      <x:c r="H19" s="221" t="str">
        <x:v>listar/ler conversa própria e alheia</x:v>
      </x:c>
      <x:c r="I19" s="221" t="str">
        <x:v>não vaza conteúdo entre usuários</x:v>
      </x:c>
      <x:c r="J19" s="221" t="str">
        <x:v>Unitário com supertest</x:v>
      </x:c>
      <x:c r="K19" s="221" t="str">
        <x:v>server/tests/ai.unit.test.ts</x:v>
      </x:c>
      <x:c r="L19" s="221" t="str">
        <x:v>Pendente</x:v>
      </x:c>
    </x:row>
    <x:row r="20" ht="24" hidden="0" customHeight="1">
      <x:c r="A20" s="179" t="str">
        <x:v>CT-014</x:v>
      </x:c>
      <x:c r="B20" s="221" t="str">
        <x:v>P0</x:v>
      </x:c>
      <x:c r="C20" s="221" t="str">
        <x:v>Frontend / Infraestrutura</x:v>
      </x:c>
      <x:c r="D20" s="221" t="str">
        <x:v>src/lib/api.ts</x:v>
      </x:c>
      <x:c r="E20" s="221" t="str">
        <x:v>request/refresh</x:v>
      </x:c>
      <x:c r="F20" s="221" t="str">
        <x:v>401 dispara refresh uma vez e repete requisição</x:v>
      </x:c>
      <x:c r="G20" s="221" t="str">
        <x:v>fetch e localStorage mockados</x:v>
      </x:c>
      <x:c r="H20" s="221" t="str">
        <x:v>simular sucesso, refresh inválido e requisições concorrentes</x:v>
      </x:c>
      <x:c r="I20" s="221" t="str">
        <x:v>token atualizado; logout em falha; sem loop de refresh</x:v>
      </x:c>
      <x:c r="J20" s="221" t="str">
        <x:v>Unitário DOM</x:v>
      </x:c>
      <x:c r="K20" s="221" t="str">
        <x:v>src/lib/api.test.ts</x:v>
      </x:c>
      <x:c r="L20" s="221" t="str">
        <x:v>Pendente</x:v>
      </x:c>
    </x:row>
    <x:row r="21" ht="15" hidden="0" customHeight="1">
      <x:c r="A21" s="179" t="str">
        <x:v>CT-015</x:v>
      </x:c>
      <x:c r="B21" s="221" t="str">
        <x:v>P0</x:v>
      </x:c>
      <x:c r="C21" s="221" t="str">
        <x:v>Frontend / Contexto</x:v>
      </x:c>
      <x:c r="D21" s="221" t="str">
        <x:v>src/contexts/AuthContext.tsx</x:v>
      </x:c>
      <x:c r="E21" s="221" t="str">
        <x:v>AuthProvider</x:v>
      </x:c>
      <x:c r="F21" s="221" t="str">
        <x:v>hidratar sessão, login, logout e token inválido</x:v>
      </x:c>
      <x:c r="G21" s="221" t="str">
        <x:v>api e storage mockados</x:v>
      </x:c>
      <x:c r="H21" s="221" t="str">
        <x:v>renderizar provider e acionar operações</x:v>
      </x:c>
      <x:c r="I21" s="221" t="str">
        <x:v>estado loading/user e navegação coerentes</x:v>
      </x:c>
      <x:c r="J21" s="221" t="str">
        <x:v>Teste de componente</x:v>
      </x:c>
      <x:c r="K21" s="221" t="str">
        <x:v>src/contexts/AuthContext.test.tsx</x:v>
      </x:c>
      <x:c r="L21" s="221" t="str">
        <x:v>Pendente</x:v>
      </x:c>
    </x:row>
    <x:row r="22" ht="15" hidden="0" customHeight="1">
      <x:c r="A22" s="179" t="str">
        <x:v>CT-016</x:v>
      </x:c>
      <x:c r="B22" s="221" t="str">
        <x:v>P0</x:v>
      </x:c>
      <x:c r="C22" s="221" t="str">
        <x:v>Frontend / Componentes</x:v>
      </x:c>
      <x:c r="D22" s="221" t="str">
        <x:v>src/components/ProtectedRoute.tsx</x:v>
      </x:c>
      <x:c r="E22" s="221" t="str">
        <x:v>ProtectedRoute</x:v>
      </x:c>
      <x:c r="F22" s="221" t="str">
        <x:v>loading, autenticado e anônimo</x:v>
      </x:c>
      <x:c r="G22" s="221" t="str">
        <x:v>AuthContext mockado</x:v>
      </x:c>
      <x:c r="H22" s="221" t="str">
        <x:v>renderizar nos três estados</x:v>
      </x:c>
      <x:c r="I22" s="221" t="str">
        <x:v>spinner/children/redirecionamento corretos</x:v>
      </x:c>
      <x:c r="J22" s="221" t="str">
        <x:v>Teste de componente</x:v>
      </x:c>
      <x:c r="K22" s="221" t="str">
        <x:v>src/components/ProtectedRoute.test.tsx</x:v>
      </x:c>
      <x:c r="L22" s="221" t="str">
        <x:v>Pendente</x:v>
      </x:c>
    </x:row>
    <x:row r="23" ht="15" hidden="0" customHeight="1">
      <x:c r="A23" s="179" t="str">
        <x:v>CT-017</x:v>
      </x:c>
      <x:c r="B23" s="221" t="str">
        <x:v>P0</x:v>
      </x:c>
      <x:c r="C23" s="221" t="str">
        <x:v>Frontend / Utilitários</x:v>
      </x:c>
      <x:c r="D23" s="221" t="str">
        <x:v>src/utils/pdfGenerator.ts</x:v>
      </x:c>
      <x:c r="E23" s="221" t="str">
        <x:v>downloadChecklistPDF</x:v>
      </x:c>
      <x:c r="F23" s="221" t="str">
        <x:v>nome seguro, erro HTTP e fallback</x:v>
      </x:c>
      <x:c r="G23" s="221" t="str">
        <x:v>fetch/URL/DOM mockados</x:v>
      </x:c>
      <x:c r="H23" s="221" t="str">
        <x:v>baixar com nomes especiais e respostas 4xx/5xx</x:v>
      </x:c>
      <x:c r="I23" s="221" t="str">
        <x:v>arquivo sanitizado; URL revogada; mensagem útil</x:v>
      </x:c>
      <x:c r="J23" s="221" t="str">
        <x:v>Unitário DOM</x:v>
      </x:c>
      <x:c r="K23" s="221" t="str">
        <x:v>src/utils/pdfGenerator.test.ts</x:v>
      </x:c>
      <x:c r="L23" s="221" t="str">
        <x:v>Pendente</x:v>
      </x:c>
    </x:row>
    <x:row r="24" ht="15" hidden="0" customHeight="1">
      <x:c r="A24" s="179" t="str">
        <x:v>CT-018</x:v>
      </x:c>
      <x:c r="B24" s="221" t="str">
        <x:v>P1</x:v>
      </x:c>
      <x:c r="C24" s="221" t="str">
        <x:v>Backend / Infraestrutura</x:v>
      </x:c>
      <x:c r="D24" s="221" t="str">
        <x:v>server/migrate.ts</x:v>
      </x:c>
      <x:c r="E24" s="221" t="str">
        <x:v>runner de migrations</x:v>
      </x:c>
      <x:c r="F24" s="221" t="str">
        <x:v>ordenação, rollback e lock</x:v>
      </x:c>
      <x:c r="G24" s="221" t="str">
        <x:v>cliente PG e arquivos mockados</x:v>
      </x:c>
      <x:c r="H24" s="221" t="str">
        <x:v>simular sucesso e falha no meio</x:v>
      </x:c>
      <x:c r="I24" s="221" t="str">
        <x:v>ordem numérica; rollback; não ameaça users</x:v>
      </x:c>
      <x:c r="J24" s="221" t="str">
        <x:v>Unitário</x:v>
      </x:c>
      <x:c r="K24" s="221" t="str">
        <x:v>server/tests/migrate.unit.test.ts</x:v>
      </x:c>
      <x:c r="L24" s="221" t="str">
        <x:v>Pendente</x:v>
      </x:c>
    </x:row>
    <x:row r="25" ht="15" hidden="0" customHeight="1">
      <x:c r="A25" s="179" t="str">
        <x:v>CT-019</x:v>
      </x:c>
      <x:c r="B25" s="221" t="str">
        <x:v>P1</x:v>
      </x:c>
      <x:c r="C25" s="221" t="str">
        <x:v>Backend / Rotas</x:v>
      </x:c>
      <x:c r="D25" s="221" t="str">
        <x:v>server/routes/users.ts</x:v>
      </x:c>
      <x:c r="E25" s="221" t="str">
        <x:v>GET/PUT users</x:v>
      </x:c>
      <x:c r="F25" s="221" t="str">
        <x:v>RBAC, atualização parcial, conflito e rollback</x:v>
      </x:c>
      <x:c r="G25" s="221" t="str">
        <x:v>ADMIN e pool mockado</x:v>
      </x:c>
      <x:c r="H25" s="221" t="str">
        <x:v>listar e alterar usuário válido/inválido</x:v>
      </x:c>
      <x:c r="I25" s="221" t="str">
        <x:v>validação, auditoria e transação corretas</x:v>
      </x:c>
      <x:c r="J25" s="221" t="str">
        <x:v>Unitário com supertest</x:v>
      </x:c>
      <x:c r="K25" s="221" t="str">
        <x:v>server/tests/users.unit.test.ts</x:v>
      </x:c>
      <x:c r="L25" s="221" t="str">
        <x:v>Pendente</x:v>
      </x:c>
    </x:row>
    <x:row r="26" ht="15" hidden="0" customHeight="1">
      <x:c r="A26" s="179" t="str">
        <x:v>CT-020</x:v>
      </x:c>
      <x:c r="B26" s="221" t="str">
        <x:v>P1</x:v>
      </x:c>
      <x:c r="C26" s="221" t="str">
        <x:v>Backend / Rotas</x:v>
      </x:c>
      <x:c r="D26" s="221" t="str">
        <x:v>server/routes/interactions.ts</x:v>
      </x:c>
      <x:c r="E26" s="221" t="str">
        <x:v>aggregations/feedback</x:v>
      </x:c>
      <x:c r="F26" s="221" t="str">
        <x:v>papel, propriedade e payload inválido</x:v>
      </x:c>
      <x:c r="G26" s="221" t="str">
        <x:v>JWT/pool mockados</x:v>
      </x:c>
      <x:c r="H26" s="221" t="str">
        <x:v>variar papel, owner e nota</x:v>
      </x:c>
      <x:c r="I26" s="221" t="str">
        <x:v>403/422 corretos; agregações não vazam dados</x:v>
      </x:c>
      <x:c r="J26" s="221" t="str">
        <x:v>Unitário com supertest</x:v>
      </x:c>
      <x:c r="K26" s="221" t="str">
        <x:v>server/tests/interactions.unit.test.ts</x:v>
      </x:c>
      <x:c r="L26" s="221" t="str">
        <x:v>Pendente</x:v>
      </x:c>
    </x:row>
    <x:row r="27" ht="15" hidden="0" customHeight="1">
      <x:c r="A27" s="179" t="str">
        <x:v>CT-021</x:v>
      </x:c>
      <x:c r="B27" s="221" t="str">
        <x:v>P1</x:v>
      </x:c>
      <x:c r="C27" s="221" t="str">
        <x:v>Backend / Rotas</x:v>
      </x:c>
      <x:c r="D27" s="221" t="str">
        <x:v>server/routes/jobs.ts</x:v>
      </x:c>
      <x:c r="E27" s="221" t="str">
        <x:v>CRUD e seed</x:v>
      </x:c>
      <x:c r="F27" s="221" t="str">
        <x:v>validação de parâmetros, 404, conflito e rollback</x:v>
      </x:c>
      <x:c r="G27" s="221" t="str">
        <x:v>ADMIN/pool mockado</x:v>
      </x:c>
      <x:c r="H27" s="221" t="str">
        <x:v>criar/editar/excluir/seedar em sucesso e falha</x:v>
      </x:c>
      <x:c r="I27" s="221" t="str">
        <x:v>transações atômicas e respostas consistentes</x:v>
      </x:c>
      <x:c r="J27" s="221" t="str">
        <x:v>Unitário com supertest</x:v>
      </x:c>
      <x:c r="K27" s="221" t="str">
        <x:v>server/tests/jobs.unit.test.ts</x:v>
      </x:c>
      <x:c r="L27" s="221" t="str">
        <x:v>Pendente</x:v>
      </x:c>
    </x:row>
    <x:row r="28" ht="15" hidden="0" customHeight="1">
      <x:c r="A28" s="179" t="str">
        <x:v>CT-022</x:v>
      </x:c>
      <x:c r="B28" s="221" t="str">
        <x:v>P1</x:v>
      </x:c>
      <x:c r="C28" s="221" t="str">
        <x:v>Backend / Rotas</x:v>
      </x:c>
      <x:c r="D28" s="221" t="str">
        <x:v>server/routes/norms.ts</x:v>
      </x:c>
      <x:c r="E28" s="221" t="str">
        <x:v>ciclo publicar/rollback</x:v>
      </x:c>
      <x:c r="F28" s="221" t="str">
        <x:v>estado inválido, UUID inválido e ausência de versão</x:v>
      </x:c>
      <x:c r="G28" s="221" t="str">
        <x:v>ADMIN/pool mockado</x:v>
      </x:c>
      <x:c r="H28" s="221" t="str">
        <x:v>aprovar, publicar e reverter</x:v>
      </x:c>
      <x:c r="I28" s="221" t="str">
        <x:v>transação e auditoria corretas; erros controlados</x:v>
      </x:c>
      <x:c r="J28" s="221" t="str">
        <x:v>Unitário com supertest</x:v>
      </x:c>
      <x:c r="K28" s="221" t="str">
        <x:v>server/tests/norms.unit.test.ts</x:v>
      </x:c>
      <x:c r="L28" s="221" t="str">
        <x:v>Pendente</x:v>
      </x:c>
    </x:row>
    <x:row r="29" ht="15" hidden="0" customHeight="1">
      <x:c r="A29" s="179" t="str">
        <x:v>CT-023</x:v>
      </x:c>
      <x:c r="B29" s="221" t="str">
        <x:v>P1</x:v>
      </x:c>
      <x:c r="C29" s="221" t="str">
        <x:v>Backend / Rotas</x:v>
      </x:c>
      <x:c r="D29" s="221" t="str">
        <x:v>server/routes/dictionary.ts</x:v>
      </x:c>
      <x:c r="E29" s="221" t="str">
        <x:v>CRUD/publicação</x:v>
      </x:c>
      <x:c r="F29" s="221" t="str">
        <x:v>duplicidade, 404, publish/rollback e seed</x:v>
      </x:c>
      <x:c r="G29" s="221" t="str">
        <x:v>ADMIN/pool mockado</x:v>
      </x:c>
      <x:c r="H29" s="221" t="str">
        <x:v>executar caminhos positivos e negativos</x:v>
      </x:c>
      <x:c r="I29" s="221" t="str">
        <x:v>sem estados parciais; validação consistente</x:v>
      </x:c>
      <x:c r="J29" s="221" t="str">
        <x:v>Unitário com supertest</x:v>
      </x:c>
      <x:c r="K29" s="221" t="str">
        <x:v>server/tests/dictionary.unit.test.ts</x:v>
      </x:c>
      <x:c r="L29" s="221" t="str">
        <x:v>Pendente</x:v>
      </x:c>
    </x:row>
    <x:row r="30" ht="15" hidden="0" customHeight="1">
      <x:c r="A30" s="179" t="str">
        <x:v>CT-024</x:v>
      </x:c>
      <x:c r="B30" s="221" t="str">
        <x:v>P1</x:v>
      </x:c>
      <x:c r="C30" s="221" t="str">
        <x:v>Backend / Rotas</x:v>
      </x:c>
      <x:c r="D30" s="221" t="str">
        <x:v>server/routes/checklistCatalog.ts</x:v>
      </x:c>
      <x:c r="E30" s="221" t="str">
        <x:v>importações</x:v>
      </x:c>
      <x:c r="F30" s="221" t="str">
        <x:v>itens inválidos, duplicados e falha transacional</x:v>
      </x:c>
      <x:c r="G30" s="221" t="str">
        <x:v>ADMIN/pool mockado</x:v>
      </x:c>
      <x:c r="H30" s="221" t="str">
        <x:v>importar lote misto e lote válido</x:v>
      </x:c>
      <x:c r="I30" s="221" t="str">
        <x:v>422 sem persistência parcial; sucesso auditado</x:v>
      </x:c>
      <x:c r="J30" s="221" t="str">
        <x:v>Unitário com supertest</x:v>
      </x:c>
      <x:c r="K30" s="221" t="str">
        <x:v>server/tests/checklistCatalog.unit.test.ts</x:v>
      </x:c>
      <x:c r="L30" s="221" t="str">
        <x:v>Pendente</x:v>
      </x:c>
    </x:row>
    <x:row r="31" ht="24" hidden="0" customHeight="1">
      <x:c r="A31" s="179" t="str">
        <x:v>CT-025</x:v>
      </x:c>
      <x:c r="B31" s="221" t="str">
        <x:v>P1</x:v>
      </x:c>
      <x:c r="C31" s="221" t="str">
        <x:v>Backend / Rotas</x:v>
      </x:c>
      <x:c r="D31" s="221" t="str">
        <x:v>server/routes/applicationChecklists.ts</x:v>
      </x:c>
      <x:c r="E31" s="221" t="str">
        <x:v>POST /</x:v>
      </x:c>
      <x:c r="F31" s="221" t="str">
        <x:v>hidratação, comando e idempotência concorrente</x:v>
      </x:c>
      <x:c r="G31" s="221" t="str">
        <x:v>pool/validationEngine mockados</x:v>
      </x:c>
      <x:c r="H31" s="221" t="str">
        <x:v>criar payload multi-job e repetir chave</x:v>
      </x:c>
      <x:c r="I31" s="221" t="str">
        <x:v>comandos ordenados; uma criação por chave; rollback em falha</x:v>
      </x:c>
      <x:c r="J31" s="221" t="str">
        <x:v>Unitário com supertest</x:v>
      </x:c>
      <x:c r="K31" s="221" t="str">
        <x:v>server/tests/applicationChecklists.unit.test.ts</x:v>
      </x:c>
      <x:c r="L31" s="221" t="str">
        <x:v>Pendente</x:v>
      </x:c>
    </x:row>
    <x:row r="32" ht="15" hidden="0" customHeight="1">
      <x:c r="A32" s="179" t="str">
        <x:v>CT-026</x:v>
      </x:c>
      <x:c r="B32" s="221" t="str">
        <x:v>P1</x:v>
      </x:c>
      <x:c r="C32" s="221" t="str">
        <x:v>Frontend / Serviços</x:v>
      </x:c>
      <x:c r="D32" s="221" t="str">
        <x:v>src/services/checklistService.ts</x:v>
      </x:c>
      <x:c r="E32" s="221" t="str">
        <x:v>métodos API</x:v>
      </x:c>
      <x:c r="F32" s="221" t="str">
        <x:v>paths, verbos, corpo e propagação de erro</x:v>
      </x:c>
      <x:c r="G32" s="221" t="str">
        <x:v>api mockada</x:v>
      </x:c>
      <x:c r="H32" s="221" t="str">
        <x:v>chamar cada método com dados limite</x:v>
      </x:c>
      <x:c r="I32" s="221" t="str">
        <x:v>contrato HTTP exato e erros preservados</x:v>
      </x:c>
      <x:c r="J32" s="221" t="str">
        <x:v>Unitário</x:v>
      </x:c>
      <x:c r="K32" s="221" t="str">
        <x:v>src/services/checklistService.test.ts</x:v>
      </x:c>
      <x:c r="L32" s="221" t="str">
        <x:v>Pendente</x:v>
      </x:c>
    </x:row>
    <x:row r="33" ht="15" hidden="0" customHeight="1">
      <x:c r="A33" s="179" t="str">
        <x:v>CT-027</x:v>
      </x:c>
      <x:c r="B33" s="221" t="str">
        <x:v>P1</x:v>
      </x:c>
      <x:c r="C33" s="221" t="str">
        <x:v>Frontend / Serviços</x:v>
      </x:c>
      <x:c r="D33" s="221" t="str">
        <x:v>src/services/jobService.ts</x:v>
      </x:c>
      <x:c r="E33" s="221" t="str">
        <x:v>CRUD jobs</x:v>
      </x:c>
      <x:c r="F33" s="221" t="str">
        <x:v>serialização de parâmetros e erros</x:v>
      </x:c>
      <x:c r="G33" s="221" t="str">
        <x:v>api mockada</x:v>
      </x:c>
      <x:c r="H33" s="221" t="str">
        <x:v>listar/criar/alterar/excluir</x:v>
      </x:c>
      <x:c r="I33" s="221" t="str">
        <x:v>payload e endpoints corretos</x:v>
      </x:c>
      <x:c r="J33" s="221" t="str">
        <x:v>Unitário</x:v>
      </x:c>
      <x:c r="K33" s="221" t="str">
        <x:v>src/services/jobService.test.ts</x:v>
      </x:c>
      <x:c r="L33" s="221" t="str">
        <x:v>Pendente</x:v>
      </x:c>
    </x:row>
    <x:row r="34" ht="15" hidden="0" customHeight="1">
      <x:c r="A34" s="179" t="str">
        <x:v>CT-028</x:v>
      </x:c>
      <x:c r="B34" s="221" t="str">
        <x:v>P1</x:v>
      </x:c>
      <x:c r="C34" s="221" t="str">
        <x:v>Frontend / Serviços</x:v>
      </x:c>
      <x:c r="D34" s="221" t="str">
        <x:v>src/services/normService.ts</x:v>
      </x:c>
      <x:c r="E34" s="221" t="str">
        <x:v>CRUD/publish/rollback</x:v>
      </x:c>
      <x:c r="F34" s="221" t="str">
        <x:v>escopo de aplicabilidade e erros</x:v>
      </x:c>
      <x:c r="G34" s="221" t="str">
        <x:v>api mockada</x:v>
      </x:c>
      <x:c r="H34" s="221" t="str">
        <x:v>executar operações e payloads inválidos</x:v>
      </x:c>
      <x:c r="I34" s="221" t="str">
        <x:v>contrato correto; erro não ocultado</x:v>
      </x:c>
      <x:c r="J34" s="221" t="str">
        <x:v>Unitário</x:v>
      </x:c>
      <x:c r="K34" s="221" t="str">
        <x:v>src/services/normService.test.ts</x:v>
      </x:c>
      <x:c r="L34" s="221" t="str">
        <x:v>Pendente</x:v>
      </x:c>
    </x:row>
    <x:row r="35" ht="15" hidden="0" customHeight="1">
      <x:c r="A35" s="179" t="str">
        <x:v>CT-029</x:v>
      </x:c>
      <x:c r="B35" s="221" t="str">
        <x:v>P1</x:v>
      </x:c>
      <x:c r="C35" s="221" t="str">
        <x:v>Frontend / Serviços</x:v>
      </x:c>
      <x:c r="D35" s="221" t="str">
        <x:v>src/services/dictionaryService.ts</x:v>
      </x:c>
      <x:c r="E35" s="221" t="str">
        <x:v>CRUD/publish/rollback</x:v>
      </x:c>
      <x:c r="F35" s="221" t="str">
        <x:v>campos obrigatórios e erros</x:v>
      </x:c>
      <x:c r="G35" s="221" t="str">
        <x:v>api mockada</x:v>
      </x:c>
      <x:c r="H35" s="221" t="str">
        <x:v>executar métodos</x:v>
      </x:c>
      <x:c r="I35" s="221" t="str">
        <x:v>paths e payloads corretos</x:v>
      </x:c>
      <x:c r="J35" s="221" t="str">
        <x:v>Unitário</x:v>
      </x:c>
      <x:c r="K35" s="221" t="str">
        <x:v>src/services/dictionaryService.test.ts</x:v>
      </x:c>
      <x:c r="L35" s="221" t="str">
        <x:v>Pendente</x:v>
      </x:c>
    </x:row>
    <x:row r="36" ht="15" hidden="0" customHeight="1">
      <x:c r="A36" s="179" t="str">
        <x:v>CT-030</x:v>
      </x:c>
      <x:c r="B36" s="221" t="str">
        <x:v>P1</x:v>
      </x:c>
      <x:c r="C36" s="221" t="str">
        <x:v>Frontend / Serviços</x:v>
      </x:c>
      <x:c r="D36" s="221" t="str">
        <x:v>src/services/checklistCatalogService.ts</x:v>
      </x:c>
      <x:c r="E36" s="221" t="str">
        <x:v>list/import</x:v>
      </x:c>
      <x:c r="F36" s="221" t="str">
        <x:v>filtros e importação vazia</x:v>
      </x:c>
      <x:c r="G36" s="221" t="str">
        <x:v>api mockada</x:v>
      </x:c>
      <x:c r="H36" s="221" t="str">
        <x:v>listar por kind e importar</x:v>
      </x:c>
      <x:c r="I36" s="221" t="str">
        <x:v>query/payload corretos</x:v>
      </x:c>
      <x:c r="J36" s="221" t="str">
        <x:v>Unitário</x:v>
      </x:c>
      <x:c r="K36" s="221" t="str">
        <x:v>src/services/checklistCatalogService.test.ts</x:v>
      </x:c>
      <x:c r="L36" s="221" t="str">
        <x:v>Pendente</x:v>
      </x:c>
    </x:row>
    <x:row r="37" ht="15" hidden="0" customHeight="1">
      <x:c r="A37" s="179" t="str">
        <x:v>CT-031</x:v>
      </x:c>
      <x:c r="B37" s="221" t="str">
        <x:v>P1</x:v>
      </x:c>
      <x:c r="C37" s="221" t="str">
        <x:v>Frontend / Páginas</x:v>
      </x:c>
      <x:c r="D37" s="221" t="str">
        <x:v>src/pages/UsersPage.tsx</x:v>
      </x:c>
      <x:c r="E37" s="221" t="str">
        <x:v>gestão de usuários</x:v>
      </x:c>
      <x:c r="F37" s="221" t="str">
        <x:v>carregamento, edição, erro e permissão</x:v>
      </x:c>
      <x:c r="G37" s="221" t="str">
        <x:v>serviço/Auth mockados</x:v>
      </x:c>
      <x:c r="H37" s="221" t="str">
        <x:v>renderizar e editar</x:v>
      </x:c>
      <x:c r="I37" s="221" t="str">
        <x:v>feedback visual; formulário validado; sem ação proibida</x:v>
      </x:c>
      <x:c r="J37" s="221" t="str">
        <x:v>Teste de componente</x:v>
      </x:c>
      <x:c r="K37" s="221" t="str">
        <x:v>src/pages/UsersPage.test.tsx</x:v>
      </x:c>
      <x:c r="L37" s="221" t="str">
        <x:v>Pendente</x:v>
      </x:c>
    </x:row>
    <x:row r="38" ht="15" hidden="0" customHeight="1">
      <x:c r="A38" s="179" t="str">
        <x:v>CT-032</x:v>
      </x:c>
      <x:c r="B38" s="221" t="str">
        <x:v>P1</x:v>
      </x:c>
      <x:c r="C38" s="221" t="str">
        <x:v>Frontend / Componentes</x:v>
      </x:c>
      <x:c r="D38" s="221" t="str">
        <x:v>src/components/AgentView.tsx</x:v>
      </x:c>
      <x:c r="E38" s="221" t="str">
        <x:v>chat e checklist</x:v>
      </x:c>
      <x:c r="F38" s="221" t="str">
        <x:v>envio, erro, seleção de modelo e persistência</x:v>
      </x:c>
      <x:c r="G38" s="221" t="str">
        <x:v>serviços mockados</x:v>
      </x:c>
      <x:c r="H38" s="221" t="str">
        <x:v>executar jornadas críticas</x:v>
      </x:c>
      <x:c r="I38" s="221" t="str">
        <x:v>estado e mensagens coerentes; sem duplicação</x:v>
      </x:c>
      <x:c r="J38" s="221" t="str">
        <x:v>Teste de componente</x:v>
      </x:c>
      <x:c r="K38" s="221" t="str">
        <x:v>src/components/AgentView.test.tsx</x:v>
      </x:c>
      <x:c r="L38" s="221" t="str">
        <x:v>Pendente</x:v>
      </x:c>
    </x:row>
    <x:row r="39" ht="15" hidden="0" customHeight="1">
      <x:c r="A39" s="179" t="str">
        <x:v>CT-033</x:v>
      </x:c>
      <x:c r="B39" s="221" t="str">
        <x:v>P2</x:v>
      </x:c>
      <x:c r="C39" s="221" t="str">
        <x:v>Frontend / Páginas</x:v>
      </x:c>
      <x:c r="D39" s="221" t="str">
        <x:v>src/pages/LoginPage.tsx</x:v>
      </x:c>
      <x:c r="E39" s="221" t="str">
        <x:v>login</x:v>
      </x:c>
      <x:c r="F39" s="221" t="str">
        <x:v>sucesso, credencial inválida e loading</x:v>
      </x:c>
      <x:c r="G39" s="221" t="str">
        <x:v>Auth mockado</x:v>
      </x:c>
      <x:c r="H39" s="221" t="str">
        <x:v>preencher e submeter</x:v>
      </x:c>
      <x:c r="I39" s="221" t="str">
        <x:v>navegação/erro e bloqueio de duplo envio</x:v>
      </x:c>
      <x:c r="J39" s="221" t="str">
        <x:v>Teste de componente</x:v>
      </x:c>
      <x:c r="K39" s="221" t="str">
        <x:v>src/pages/LoginPage.test.tsx</x:v>
      </x:c>
      <x:c r="L39" s="221" t="str">
        <x:v>Pendente</x:v>
      </x:c>
    </x:row>
    <x:row r="40" ht="15" hidden="0" customHeight="1">
      <x:c r="A40" s="179" t="str">
        <x:v>CT-034</x:v>
      </x:c>
      <x:c r="B40" s="221" t="str">
        <x:v>P2</x:v>
      </x:c>
      <x:c r="C40" s="221" t="str">
        <x:v>Frontend / Páginas</x:v>
      </x:c>
      <x:c r="D40" s="221" t="str">
        <x:v>src/pages/SignupPage.tsx</x:v>
      </x:c>
      <x:c r="E40" s="221" t="str">
        <x:v>cadastro</x:v>
      </x:c>
      <x:c r="F40" s="221" t="str">
        <x:v>senhas divergentes, API falha e sucesso</x:v>
      </x:c>
      <x:c r="G40" s="221" t="str">
        <x:v>Auth/api mockados</x:v>
      </x:c>
      <x:c r="H40" s="221" t="str">
        <x:v>submeter variações</x:v>
      </x:c>
      <x:c r="I40" s="221" t="str">
        <x:v>validação local e feedback corretos</x:v>
      </x:c>
      <x:c r="J40" s="221" t="str">
        <x:v>Teste de componente</x:v>
      </x:c>
      <x:c r="K40" s="221" t="str">
        <x:v>src/pages/SignupPage.test.tsx</x:v>
      </x:c>
      <x:c r="L40" s="221" t="str">
        <x:v>Pendente</x:v>
      </x:c>
    </x:row>
    <x:row r="41" ht="15" hidden="0" customHeight="1">
      <x:c r="A41" s="179" t="str">
        <x:v>CT-035</x:v>
      </x:c>
      <x:c r="B41" s="221" t="str">
        <x:v>P2</x:v>
      </x:c>
      <x:c r="C41" s="221" t="str">
        <x:v>Frontend / Componentes</x:v>
      </x:c>
      <x:c r="D41" s="221" t="str">
        <x:v>src/components/HistoryView.tsx</x:v>
      </x:c>
      <x:c r="E41" s="221" t="str">
        <x:v>histórico</x:v>
      </x:c>
      <x:c r="F41" s="221" t="str">
        <x:v>vazio, carregamento, erro e seleção</x:v>
      </x:c>
      <x:c r="G41" s="221" t="str">
        <x:v>serviço mockado</x:v>
      </x:c>
      <x:c r="H41" s="221" t="str">
        <x:v>renderizar estados</x:v>
      </x:c>
      <x:c r="I41" s="221" t="str">
        <x:v>mensagens e seleção corretas</x:v>
      </x:c>
      <x:c r="J41" s="221" t="str">
        <x:v>Teste de componente</x:v>
      </x:c>
      <x:c r="K41" s="221" t="str">
        <x:v>src/components/HistoryView.test.tsx</x:v>
      </x:c>
      <x:c r="L41" s="221" t="str">
        <x:v>Pendente</x:v>
      </x:c>
    </x:row>
    <x:row r="42" ht="15" hidden="0" customHeight="1">
      <x:c r="A42" s="179" t="str">
        <x:v>CT-036</x:v>
      </x:c>
      <x:c r="B42" s="221" t="str">
        <x:v>P2</x:v>
      </x:c>
      <x:c r="C42" s="221" t="str">
        <x:v>Frontend / Componentes</x:v>
      </x:c>
      <x:c r="D42" s="221" t="str">
        <x:v>src/components/KnowledgeViews.tsx</x:v>
      </x:c>
      <x:c r="E42" s="221" t="str">
        <x:v>dicionário/normas/jobs</x:v>
      </x:c>
      <x:c r="F42" s="221" t="str">
        <x:v>permissões, filtros e erros CRUD</x:v>
      </x:c>
      <x:c r="G42" s="221" t="str">
        <x:v>serviços/Auth mockados</x:v>
      </x:c>
      <x:c r="H42" s="221" t="str">
        <x:v>variar papel e operações</x:v>
      </x:c>
      <x:c r="I42" s="221" t="str">
        <x:v>ações disponíveis somente ao papel correto</x:v>
      </x:c>
      <x:c r="J42" s="221" t="str">
        <x:v>Teste de componente</x:v>
      </x:c>
      <x:c r="K42" s="221" t="str">
        <x:v>src/components/KnowledgeViews.test.tsx</x:v>
      </x:c>
      <x:c r="L42" s="221" t="str">
        <x:v>Pendente</x:v>
      </x:c>
    </x:row>
  </x:sheetData>
  <x:mergeCells>
    <x:mergeCell ref="A1:L2"/>
    <x:mergeCell ref="A3:L3"/>
  </x:mergeCells>
  <x:conditionalFormatting sqref="B7:B42">
    <x:cfRule type="containsText" dxfId="9" priority="1" operator="containsText" text="P0"/>
    <x:cfRule type="containsText" dxfId="10" priority="2" operator="containsText" text="P1"/>
    <x:cfRule type="containsText" dxfId="11" priority="3" operator="containsText" text="P2"/>
  </x:conditionalFormatting>
  <x:conditionalFormatting sqref="L7:L42">
    <x:cfRule type="containsText" dxfId="12" priority="4" operator="containsText" text="Implementado"/>
    <x:cfRule type="containsText" dxfId="13" priority="5" operator="containsText" text="Bloqueado"/>
  </x:conditionalFormatting>
  <x:dataValidations count="1">
    <x:dataValidation type="list" sqref="L7:L42">
      <x:formula1>"Pendente,Em andamento,Implementado,Bloqueado,Descartado"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c357938d3841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24" hidden="0" customWidth="1"/>
    <x:col min="4" max="4" width="34" hidden="0" customWidth="1"/>
    <x:col min="5" max="5" width="38" hidden="0" customWidth="1"/>
    <x:col min="6" max="6" width="42" hidden="0" customWidth="1"/>
  </x:cols>
  <x:sheetData>
    <x:row r="1" ht="30" customHeight="1">
      <x:c r="A1" s="225" t="str">
        <x:v>Critérios, Escopo e Método</x:v>
      </x:c>
      <x:c r="B1" s="225" t="str">
        <x:v>Critérios, Escopo e Método</x:v>
      </x:c>
      <x:c r="C1" s="225" t="str">
        <x:v>Critérios, Escopo e Método</x:v>
      </x:c>
      <x:c r="D1" s="225" t="str">
        <x:v>Critérios, Escopo e Método</x:v>
      </x:c>
      <x:c r="E1" s="225" t="str">
        <x:v>Critérios, Escopo e Método</x:v>
      </x:c>
      <x:c r="F1" s="225" t="str">
        <x:v>Critérios, Escopo e Método</x:v>
      </x:c>
      <x:c r="G1" s="227"/>
      <x:c r="H1" s="227"/>
      <x:c r="I1" s="227"/>
      <x:c r="J1" s="227"/>
      <x:c r="K1" s="227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  <x:c r="W1" s="227"/>
      <x:c r="X1" s="227"/>
      <x:c r="Y1" s="227"/>
      <x:c r="Z1" s="227"/>
    </x:row>
    <x:row r="2" ht="30" customHeight="1">
      <x:c r="A2" s="225" t="str">
        <x:v>Critérios, Escopo e Método</x:v>
      </x:c>
      <x:c r="B2" s="225" t="str">
        <x:v>Critérios, Escopo e Método</x:v>
      </x:c>
      <x:c r="C2" s="225" t="str">
        <x:v>Critérios, Escopo e Método</x:v>
      </x:c>
      <x:c r="D2" s="225" t="str">
        <x:v>Critérios, Escopo e Método</x:v>
      </x:c>
      <x:c r="E2" s="225" t="str">
        <x:v>Critérios, Escopo e Método</x:v>
      </x:c>
      <x:c r="F2" s="225" t="str">
        <x:v>Critérios, Escopo e Método</x:v>
      </x:c>
      <x:c r="G2" s="227"/>
      <x:c r="H2" s="227"/>
      <x:c r="I2" s="227"/>
      <x:c r="J2" s="227"/>
      <x:c r="K2" s="227"/>
      <x:c r="L2" s="227"/>
      <x:c r="M2" s="227"/>
      <x:c r="N2" s="227"/>
      <x:c r="O2" s="227"/>
      <x:c r="P2" s="227"/>
      <x:c r="Q2" s="227"/>
      <x:c r="R2" s="227"/>
      <x:c r="S2" s="227"/>
      <x:c r="T2" s="227"/>
      <x:c r="U2" s="227"/>
      <x:c r="V2" s="227"/>
      <x:c r="W2" s="227"/>
      <x:c r="X2" s="227"/>
      <x:c r="Y2" s="227"/>
      <x:c r="Z2" s="227"/>
    </x:row>
    <x:row r="3" ht="15" hidden="0" customHeight="1">
      <x:c r="A3" s="181" t="str">
        <x:v>Registro auditável das regras usadas para interpretar cobertura e completude.</x:v>
      </x:c>
      <x:c r="B3" s="181" t="str">
        <x:v>Registro auditável das regras usadas para interpretar cobertura e completude.</x:v>
      </x:c>
      <x:c r="C3" s="181" t="str">
        <x:v>Registro auditável das regras usadas para interpretar cobertura e completude.</x:v>
      </x:c>
      <x:c r="D3" s="181" t="str">
        <x:v>Registro auditável das regras usadas para interpretar cobertura e completude.</x:v>
      </x:c>
      <x:c r="E3" s="181" t="str">
        <x:v>Registro auditável das regras usadas para interpretar cobertura e completude.</x:v>
      </x:c>
      <x:c r="F3" s="181" t="str">
        <x:v>Registro auditável das regras usadas para interpretar cobertura e completude.</x:v>
      </x:c>
    </x:row>
    <x:row r="4" ht="15" hidden="0" customHeight="1">
      <x:c r="A4" s="179"/>
      <x:c r="B4" s="179"/>
      <x:c r="C4" s="179"/>
      <x:c r="D4" s="179"/>
      <x:c r="E4" s="179"/>
      <x:c r="F4" s="179"/>
    </x:row>
    <x:row r="5" ht="15" hidden="0" customHeight="1">
      <x:c r="A5" s="179"/>
      <x:c r="B5" s="179"/>
      <x:c r="C5" s="179"/>
      <x:c r="D5" s="179"/>
      <x:c r="E5" s="179"/>
      <x:c r="F5" s="179"/>
    </x:row>
    <x:row r="6" ht="15" hidden="0" customHeight="1">
      <x:c r="A6" s="198" t="str">
        <x:v>Tema</x:v>
      </x:c>
      <x:c r="B6" s="199" t="str">
        <x:v>Definição / evidência</x:v>
      </x:c>
      <x:c r="C6" s="199" t="str">
        <x:v>Valor observado</x:v>
      </x:c>
      <x:c r="D6" s="199" t="str">
        <x:v>Decisão</x:v>
      </x:c>
      <x:c r="E6" s="199" t="str">
        <x:v>Fonte local</x:v>
      </x:c>
      <x:c r="F6" s="200" t="str">
        <x:v>Observação</x:v>
      </x:c>
    </x:row>
    <x:row r="7" ht="15" hidden="0" customHeight="1">
      <x:c r="A7" s="221" t="str">
        <x:v>Data da auditoria</x:v>
      </x:c>
      <x:c r="B7" s="221" t="str">
        <x:v>Execução local no workspace</x:v>
      </x:c>
      <x:c r="C7" s="221" t="str">
        <x:v>07/08/2026</x:v>
      </x:c>
      <x:c r="D7" s="221" t="str">
        <x:v>Fotografia do estado atual</x:v>
      </x:c>
      <x:c r="E7" s="221" t="str">
        <x:v>ambiente da tarefa</x:v>
      </x:c>
      <x:c r="F7" s="221" t="str">
        <x:v>Pode mudar após novos commits</x:v>
      </x:c>
    </x:row>
    <x:row r="8" ht="15" hidden="0" customHeight="1">
      <x:c r="A8" s="221" t="str">
        <x:v>Comando executado</x:v>
      </x:c>
      <x:c r="B8" s="221" t="str">
        <x:v>Suíte com c8 e --all</x:v>
      </x:c>
      <x:c r="C8" s="221" t="str">
        <x:v>npm run test:coverage</x:v>
      </x:c>
      <x:c r="D8" s="221" t="str">
        <x:v>Fonte primária para métricas</x:v>
      </x:c>
      <x:c r="E8" s="221" t="str">
        <x:v>package.json</x:v>
      </x:c>
      <x:c r="F8" s="221" t="str">
        <x:v>45 aprovados, 2 ignorados, 0 falhas</x:v>
      </x:c>
    </x:row>
    <x:row r="9" ht="15" hidden="0" customHeight="1">
      <x:c r="A9" s="221" t="str">
        <x:v>Cobertura total</x:v>
      </x:c>
      <x:c r="B9" s="221" t="str">
        <x:v>Linhas executadas / linhas instrumentadas</x:v>
      </x:c>
      <x:c r="C9" s="224" t="n">
        <x:v>0.2014</x:v>
      </x:c>
      <x:c r="D9" s="221" t="str">
        <x:v>Insuficiente para declarar completude</x:v>
      </x:c>
      <x:c r="E9" s="221" t="str">
        <x:v>coverage/coverage-summary.json</x:v>
      </x:c>
      <x:c r="F9" s="221" t="str">
        <x:v>Gate configurado em apenas 19% de linhas</x:v>
      </x:c>
    </x:row>
    <x:row r="10" ht="24" hidden="0" customHeight="1">
      <x:c r="A10" s="221" t="str">
        <x:v>Coberto</x:v>
      </x:c>
      <x:c r="B10" s="221" t="str">
        <x:v>Arquivo com &gt;=80% das linhas</x:v>
      </x:c>
      <x:c r="C10" s="221" t="str">
        <x:v>6 arquivos</x:v>
      </x:c>
      <x:c r="D10" s="221" t="str">
        <x:v>Ainda revisar branches e qualidade dos asserts</x:v>
      </x:c>
      <x:c r="E10" s="221" t="str">
        <x:v>regra desta auditoria</x:v>
      </x:c>
      <x:c r="F10" s="221" t="str">
        <x:v>Não equivale a 100% de requisitos</x:v>
      </x:c>
    </x:row>
    <x:row r="11" ht="15" hidden="0" customHeight="1">
      <x:c r="A11" s="221" t="str">
        <x:v>Parcial</x:v>
      </x:c>
      <x:c r="B11" s="221" t="str">
        <x:v>Arquivo entre &gt;0% e &lt;80%</x:v>
      </x:c>
      <x:c r="C11" s="221" t="str">
        <x:v>15 arquivos</x:v>
      </x:c>
      <x:c r="D11" s="221" t="str">
        <x:v>Requer ampliação</x:v>
      </x:c>
      <x:c r="E11" s="221" t="str">
        <x:v>regra desta auditoria</x:v>
      </x:c>
      <x:c r="F11" s="221" t="str">
        <x:v>Pode incluir mero carregamento indireto</x:v>
      </x:c>
    </x:row>
    <x:row r="12" ht="15" hidden="0" customHeight="1">
      <x:c r="A12" s="221" t="str">
        <x:v>Sem cobertura</x:v>
      </x:c>
      <x:c r="B12" s="221" t="str">
        <x:v>Arquivo com 0% de linhas</x:v>
      </x:c>
      <x:c r="C12" s="221" t="str">
        <x:v>25 arquivos</x:v>
      </x:c>
      <x:c r="D12" s="221" t="str">
        <x:v>Existe lacuna de teste</x:v>
      </x:c>
      <x:c r="E12" s="221" t="str">
        <x:v>coverage/coverage-summary.json</x:v>
      </x:c>
      <x:c r="F12" s="221" t="str">
        <x:v>Inclui 2 arquivos declarativos N/A</x:v>
      </x:c>
    </x:row>
    <x:row r="13" ht="15" hidden="0" customHeight="1">
      <x:c r="A13" s="221" t="str">
        <x:v>Teste direto</x:v>
      </x:c>
      <x:c r="B13" s="221" t="str">
        <x:v>Teste aponta ao comportamento do módulo</x:v>
      </x:c>
      <x:c r="C13" s="221" t="str">
        <x:v>9 arquivos mapeados</x:v>
      </x:c>
      <x:c r="D13" s="221" t="str">
        <x:v>Evidência mais forte</x:v>
      </x:c>
      <x:c r="E13" s="221" t="str">
        <x:v>arquivos *.test.ts</x:v>
      </x:c>
      <x:c r="F13" s="221" t="str">
        <x:v>Mapeamento conservador</x:v>
      </x:c>
    </x:row>
    <x:row r="14" ht="15" hidden="0" customHeight="1">
      <x:c r="A14" s="221" t="str">
        <x:v>Teste indireto</x:v>
      </x:c>
      <x:c r="B14" s="221" t="str">
        <x:v>Arquivo executado ao importar app/rota</x:v>
      </x:c>
      <x:c r="C14" s="221" t="str">
        <x:v>vários módulos backend</x:v>
      </x:c>
      <x:c r="D14" s="221" t="str">
        <x:v>Não prova comportamento funcional</x:v>
      </x:c>
      <x:c r="E14" s="221" t="str">
        <x:v>c8 + inspeção de testes</x:v>
      </x:c>
      <x:c r="F14" s="221" t="str">
        <x:v>Separado na Matriz</x:v>
      </x:c>
    </x:row>
    <x:row r="15" ht="24" hidden="0" customHeight="1">
      <x:c r="A15" s="221" t="str">
        <x:v>Integração</x:v>
      </x:c>
      <x:c r="B15" s="221" t="str">
        <x:v>Testes que dependem do runner/banco</x:v>
      </x:c>
      <x:c r="C15" s="221" t="str">
        <x:v>presentes, não executados</x:v>
      </x:c>
      <x:c r="D15" s="221" t="str">
        <x:v>Não contam como execução unitária desta auditoria</x:v>
      </x:c>
      <x:c r="E15" s="221" t="str">
        <x:v>server/tests/*.test.ts</x:v>
      </x:c>
      <x:c r="F15" s="221" t="str">
        <x:v>Executar em ambiente PostgreSQL isolado</x:v>
      </x:c>
    </x:row>
    <x:row r="16" ht="15" hidden="0" customHeight="1">
      <x:c r="A16" s="221" t="str">
        <x:v>Completude</x:v>
      </x:c>
      <x:c r="B16" s="221" t="str">
        <x:v>Todos os riscos/comportamentos relevantes têm teste automatizado</x:v>
      </x:c>
      <x:c r="C16" s="221" t="str">
        <x:v>Não atendida</x:v>
      </x:c>
      <x:c r="D16" s="221" t="str">
        <x:v>Conclusão: faltam testes unitários</x:v>
      </x:c>
      <x:c r="E16" s="221" t="str">
        <x:v>Matriz + Lacunas</x:v>
      </x:c>
      <x:c r="F16" s="221" t="str">
        <x:v>Cobertura é proxy, não prova total</x:v>
      </x:c>
    </x:row>
    <x:row r="17" ht="15" hidden="0" customHeight="1">
      <x:c r="A17" s="221" t="str">
        <x:v>Escopo excluído</x:v>
      </x:c>
      <x:c r="B17" s="221" t="str">
        <x:v>UI visual/E2E, segurança dinâmica e performance</x:v>
      </x:c>
      <x:c r="C17" s="221" t="str">
        <x:v>não avaliados</x:v>
      </x:c>
      <x:c r="D17" s="221" t="str">
        <x:v>Planejar trilhas separadas</x:v>
      </x:c>
      <x:c r="E17" s="221" t="str">
        <x:v>metodologia</x:v>
      </x:c>
      <x:c r="F17" s="221" t="str">
        <x:v>O Excel foca cenários unitários</x:v>
      </x:c>
    </x:row>
    <x:row r="18" ht="15" hidden="0" customHeight="1">
      <x:c r="A18" s="179"/>
      <x:c r="B18" s="179"/>
      <x:c r="C18" s="179"/>
      <x:c r="D18" s="179"/>
      <x:c r="E18" s="179"/>
      <x:c r="F18" s="179"/>
    </x:row>
    <x:row r="19" ht="15" hidden="0" customHeight="1">
      <x:c r="A19" s="179"/>
      <x:c r="B19" s="179"/>
      <x:c r="C19" s="179"/>
      <x:c r="D19" s="179"/>
      <x:c r="E19" s="179"/>
      <x:c r="F19" s="179"/>
    </x:row>
    <x:row r="20" ht="15" hidden="0" customHeight="1">
      <x:c r="A20" s="216" t="str">
        <x:v>Próximo passo recomendado: implementar CT-001 a CT-017 (P0), adicionar ambiente de testes React, tornar os 2 testes de PDF não ignorados no CI e elevar o gate de cobertura por etapas.</x:v>
      </x:c>
      <x:c r="B20" s="217" t="str">
        <x:v>Próximo passo recomendado: implementar CT-001 a CT-017 (P0), adicionar ambiente de testes React, tornar os 2 testes de PDF não ignorados no CI e elevar o gate de cobertura por etapas.</x:v>
      </x:c>
      <x:c r="C20" s="217" t="str">
        <x:v>Próximo passo recomendado: implementar CT-001 a CT-017 (P0), adicionar ambiente de testes React, tornar os 2 testes de PDF não ignorados no CI e elevar o gate de cobertura por etapas.</x:v>
      </x:c>
      <x:c r="D20" s="217" t="str">
        <x:v>Próximo passo recomendado: implementar CT-001 a CT-017 (P0), adicionar ambiente de testes React, tornar os 2 testes de PDF não ignorados no CI e elevar o gate de cobertura por etapas.</x:v>
      </x:c>
      <x:c r="E20" s="217" t="str">
        <x:v>Próximo passo recomendado: implementar CT-001 a CT-017 (P0), adicionar ambiente de testes React, tornar os 2 testes de PDF não ignorados no CI e elevar o gate de cobertura por etapas.</x:v>
      </x:c>
      <x:c r="F20" s="218" t="str">
        <x:v>Próximo passo recomendado: implementar CT-001 a CT-017 (P0), adicionar ambiente de testes React, tornar os 2 testes de PDF não ignorados no CI e elevar o gate de cobertura por etapas.</x:v>
      </x:c>
    </x:row>
  </x:sheetData>
  <x:mergeCells>
    <x:mergeCell ref="A1:F2"/>
    <x:mergeCell ref="A3:F3"/>
    <x:mergeCell ref="A20:F20"/>
  </x:mergeCells>
  <x:pageMargins left="0.7" right="0.7" top="0.75" bottom="0.75" header="0.3" footer="0.3"/>
  <x:tableParts count="1">
    <x:tablePart xmlns:r="http://schemas.openxmlformats.org/officeDocument/2006/relationships" r:id="R768350d5658c453d"/>
  </x:tableParts>
</x:worksheet>
</file>