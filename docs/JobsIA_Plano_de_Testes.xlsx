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Casos de Teste" state="visible" r:id="rId5"/>
    <sheet sheetId="3" name="Matriz de Cobertura por Arquivo" state="visible" r:id="rId6"/>
    <sheet sheetId="4" name="Lacunas de Testes Unitários" state="visible" r:id="rId7"/>
    <sheet sheetId="5" name="Resumo" state="visible" r:id="rId8"/>
    <sheet sheetId="6" name="Não Funcionais" state="visible" r:id="rId9"/>
    <sheet sheetId="7" name="Rastreabilidade" state="visible" r:id="rId10"/>
    <sheet sheetId="8" name="Ambiente e Massa de Dados" state="visible" r:id="rId11"/>
  </sheets>
  <calcPr calcId="171027"/>
</workbook>
</file>

<file path=xl/sharedStrings.xml><?xml version="1.0" encoding="utf-8"?>
<sst xmlns="http://schemas.openxmlformats.org/spreadsheetml/2006/main" count="3324" uniqueCount="1689">
  <si>
    <t>PLANO DE TESTES</t>
  </si>
  <si>
    <t>JobsIA — Sistema de Geração Segura de Checklists e Validação de Normas</t>
  </si>
  <si>
    <t>Projeto</t>
  </si>
  <si>
    <t>JobsIA 2.0</t>
  </si>
  <si>
    <t>Documento</t>
  </si>
  <si>
    <t>Plano de Testes</t>
  </si>
  <si>
    <t>Versão</t>
  </si>
  <si>
    <t>1.1</t>
  </si>
  <si>
    <t>Data de emissão</t>
  </si>
  <si>
    <t>14/08/2026</t>
  </si>
  <si>
    <t>Autor</t>
  </si>
  <si>
    <t>Equipe de Qualidade JobsIA (dev@quantumtecnologia.com.br)</t>
  </si>
  <si>
    <t>Norma de referência</t>
  </si>
  <si>
    <t>N/PD/004/02 (nomenclatura e padronização de jobs corporativos)</t>
  </si>
  <si>
    <t>Revisão</t>
  </si>
  <si>
    <t>Incorpora os ajustes de docs/Documento_Cobertura_Testes_JobsIA_v2.docx e outputs/019fdc6d.../Cenario_de_Testes_JobsIA.xlsx (auditoria de cobertura de 07/08/2026).</t>
  </si>
  <si>
    <t>1. Objetivo</t>
  </si>
  <si>
    <t>Definir o escopo, a estratégia, os critérios de entrada/saída e os casos de teste necessários para validar funcionalmente, em termos de segurança (RBAC) e de integração o sistema JobsIA: geração assistida de checklists de jobs corporativos, validação determinística de conformidade com a norma N/PD/004/02, gestão de dicionário e normas versionadas, geração de PDF e o assistente de IA (LIA).</t>
  </si>
  <si>
    <t>2. Escopo (dentro do projeto)</t>
  </si>
  <si>
    <t>• RBAC nativo (ADMIN, OPERADOR, SOLICITANTE) e autenticação JWT própria (login, refresh, logout, signup).</t>
  </si>
  <si>
    <t>• Geração dinâmica de checklists (schema v1 legado e schema v2 por Application) e exportação em PDF.</t>
  </si>
  <si>
    <t>• Motor de validação determinístico da norma N/PD/004/02 (nomenclatura Unix/Windows/Mainframe, objetos SQL, fita magnética, Connect:Direct).</t>
  </si>
  <si>
    <t>• Gestão dinâmica de Dicionário de Termos e Normas com fluxo de aprovação/publicação/rollback.</t>
  </si>
  <si>
    <t>• Catálogo oficial de checklist (itens GENERIC/BRIDGE e regras de nomenclatura de Application) e importação pelo ADMIN.</t>
  </si>
  <si>
    <t>• Assistente de IA (LIA): chat, histórico de conversas, preferências de modelo e injeção de contexto normativo.</t>
  </si>
  <si>
    <t>• Auditoria de ações sensíveis e feedback de interação.</t>
  </si>
  <si>
    <t>• Segurança de migrações de banco de dados (proteção da tabela public.users e do volume em produção).</t>
  </si>
  <si>
    <t>3. Fora de escopo</t>
  </si>
  <si>
    <t>• Integração com provedores de identidade externos (SSO / Auth0 / Google / Okta).</t>
  </si>
  <si>
    <t>• Persistência de PDFs no servidor (o arquivo é gerado e baixado em tempo de execução no cliente).</t>
  </si>
  <si>
    <t>• Processamento assíncrono / filas (Redis, RabbitMQ) fora do ciclo HTTP tradicional do Express.</t>
  </si>
  <si>
    <t>• Automação de infraestrutura (provisionamento de servidores, orquestração Kubernetes).</t>
  </si>
  <si>
    <t>4. Estratégia de teste</t>
  </si>
  <si>
    <t>• Nível unitário: motor de validação, geração de PDF, normalização de payloads (schema v1/v2), segurança de migrações — executados via "npm run test:unit".</t>
  </si>
  <si>
    <t>• Nível de integração: autenticação, RBAC, checklists, catálogo, jobs, normas, dicionário, prompts do sistema, interações — executados via "npm run test:integration" contra DATABASE_URL_TEST dedicado.</t>
  </si>
  <si>
    <t>• Nível de contrato de API: casos manuais/exploratórios cobrindo endpoints REST descritos neste plano (autenticação, headers, códigos de status).</t>
  </si>
  <si>
    <t>• Nível de interface: casos manuais para as telas React (Login, Signup, AgentView, KnowledgeViews, ChecklistCatalogView, HistoryView, UsersPage, HelpView).</t>
  </si>
  <si>
    <t>• Não funcional: segurança, desempenho, usabilidade, compatibilidade e segurança de deploy — ver aba "Não Funcionais".</t>
  </si>
  <si>
    <t>• Fechamento de lacunas de teste unitário isolado (mocks de pool/JWT/GenAI/fetch), priorizadas por risco — ver abas "Matriz de Cobertura por Arquivo" e "Lacunas de Testes Unitários".</t>
  </si>
  <si>
    <t>5. Critérios de entrada</t>
  </si>
  <si>
    <t>• Build do backend ("npm run build:server") e migrações aplicadas em banco de testes dedicado (nome contendo marcador de teste).</t>
  </si>
  <si>
    <t>• Variáveis de ambiente configuradas (DATABASE_URL_TEST, JWT_SECRET, VITE_API_URL, CORS_ORIGIN).</t>
  </si>
  <si>
    <t>• Massa de dados mínima disponível: um usuário por papel (ADMIN, OPERADOR, SOLICITANTE) e seeds de jobs/normas/dicionário.</t>
  </si>
  <si>
    <t>6. Critérios de saída</t>
  </si>
  <si>
    <t>• 100% dos casos de prioridade Alta executados e sem falhas abertas de severidade crítica/alta.</t>
  </si>
  <si>
    <t>• Suítes automatizadas ("npm test", "npm run test:integration", "npm run test:coverage") verdes no pipeline ".github/workflows/test.yml".</t>
  </si>
  <si>
    <t>• Cobertura de código igual ou superior ao baseline bloqueante configurado (lines 19%, statements 19%, branches 55%, functions 45% via c8) e sem novas regressões nos arquivos "Coberto" da Matriz de Cobertura.</t>
  </si>
  <si>
    <t>• Itens de Prioridade P0 da aba "Lacunas de Testes Unitários" implementados antes do fechamento do ciclo (ver seção 9).</t>
  </si>
  <si>
    <t>7. Ferramentas e ambiente</t>
  </si>
  <si>
    <t>• Runner de testes: node --test (via tsx) + supertest para requisições HTTP; cobertura com c8.</t>
  </si>
  <si>
    <t>• Banco de dados: PostgreSQL 14+ isolado para testes (nunca reaproveita DATABASE_URL de produção).</t>
  </si>
  <si>
    <t>• Backend: Express.js/TypeScript em http://localhost:3001 · Frontend: React/Vite em http://localhost:3000.</t>
  </si>
  <si>
    <t>• Integração contínua: GitHub Actions ".github/workflows/test.yml" (provisiona PostgreSQL efêmero, valida schema, roda integração, cobertura, build e checagem de tipos).</t>
  </si>
  <si>
    <t>8. Papéis e responsabilidades</t>
  </si>
  <si>
    <t>• Desenvolvimento: mantém testes próximos às mudanças, fixtures determinísticas e correção imediata do gate.</t>
  </si>
  <si>
    <t>• Qualidade: mantém a matriz de risco, os casos deste plano, dados de teste e a análise de instabilidade (flakiness).</t>
  </si>
  <si>
    <t>• DevOps/Plataforma: fornece banco efêmero, pipeline, artefatos e retenção de evidências.</t>
  </si>
  <si>
    <t>• Segurança: define casos abusivos, gates de SAST/dependências e revisão de dados sensíveis.</t>
  </si>
  <si>
    <t>• Produto/Negócio: valida jornadas críticas, critérios de aceite e riscos residuais.</t>
  </si>
  <si>
    <t>9. Cobertura atual e lacunas priorizadas (auditoria de 07/08/2026)</t>
  </si>
  <si>
    <t>Uma auditoria de código (npm run test:coverage, c8 --all) inventariou 46 arquivos de produção elegíveis à cobertura unitária: 6 estão "Coberto" (≥80% de linhas), 15 estão "Parcial" (&gt;0% e &lt;80%) e 23 estão "Sem cobertura" (0%). A cobertura global medida foi 20,14% de linhas/statements, 59,09% de branches e 50,81% de funções — acima do baseline bloqueante do pipeline (19%/19%/55%/45%), porém ainda insuficiente para declarar completude, sobretudo no frontend (0% agregado em todos os componentes, páginas, contexto e serviços React).</t>
  </si>
  <si>
    <t>A aba "Matriz de Cobertura por Arquivo" detalha a situação de cada um dos 46 arquivos. A aba "Lacunas de Testes Unitários" traz o backlog de 36 cenários priorizados (17 P0, 15 P1, 4 P2) para fechar essa lacuna, com pré-condições/mocks, passos, resultado esperado e arquivo de teste sugerido. A aba "Rastreabilidade" liga os itens P0 desse backlog aos casos funcionais/RBAC já descritos na aba "Casos de Teste".</t>
  </si>
  <si>
    <t>Este plano de execução manual/funcional permanece complementar a essa auditoria: ela cobre exclusivamente testes unitários isolados (mocks), enquanto este documento cobre também os cenários de integração, segurança dinâmica, PDF, migrações e interface que já possuem evidência de teste (ver coluna "Teste Automatizado" na aba "Casos de Teste").</t>
  </si>
  <si>
    <t>ID</t>
  </si>
  <si>
    <t>Módulo</t>
  </si>
  <si>
    <t>Funcionalidade / Endpoint</t>
  </si>
  <si>
    <t>Título do Caso de Teste</t>
  </si>
  <si>
    <t>Tipo</t>
  </si>
  <si>
    <t>Prioridade</t>
  </si>
  <si>
    <t>Perfil de Acesso</t>
  </si>
  <si>
    <t>Pré-condições</t>
  </si>
  <si>
    <t>Passos de Execução</t>
  </si>
  <si>
    <t>Dados de Entrada / Massa de Teste</t>
  </si>
  <si>
    <t>Resultado Esperado</t>
  </si>
  <si>
    <t>Teste Automatizado (referência)</t>
  </si>
  <si>
    <t>Status</t>
  </si>
  <si>
    <t>Observações</t>
  </si>
  <si>
    <t>CT-001</t>
  </si>
  <si>
    <t>Autenticação</t>
  </si>
  <si>
    <t>POST /api/auth/login</t>
  </si>
  <si>
    <t>Login com credenciais válidas</t>
  </si>
  <si>
    <t>Funcional</t>
  </si>
  <si>
    <t>Alta</t>
  </si>
  <si>
    <t>Público (sem login)</t>
  </si>
  <si>
    <t>Usuário ativo cadastrado no banco de testes.</t>
  </si>
  <si>
    <t xml:space="preserve">1. Enviar e-mail e senha corretos para POST /api/auth/login.
2. Inspecionar corpo e headers da resposta.</t>
  </si>
  <si>
    <t>{ email, password } de usuário ativo válido.</t>
  </si>
  <si>
    <t>HTTP 200; resposta contém access token JWT, refresh token e dados do perfil (id, nome, e-mail, role).</t>
  </si>
  <si>
    <t>server/tests/auth_cycle.test.ts</t>
  </si>
  <si>
    <t>A executar</t>
  </si>
  <si>
    <t/>
  </si>
  <si>
    <t>CT-002</t>
  </si>
  <si>
    <t>Login de usuário inativo é bloqueado</t>
  </si>
  <si>
    <t>Usuário existente com status inativo.</t>
  </si>
  <si>
    <t>1. Enviar credenciais de usuário inativo para POST /api/auth/login.</t>
  </si>
  <si>
    <t>{ email, password } de usuário com is_active = false.</t>
  </si>
  <si>
    <t>HTTP 401/403; login recusado com mensagem apropriada; nenhum token emitido.</t>
  </si>
  <si>
    <t>server/tests/auth_cycle.test.ts; server/tests/rbac.test.ts</t>
  </si>
  <si>
    <t>CT-003</t>
  </si>
  <si>
    <t>Login com senha incorreta é rejeitado</t>
  </si>
  <si>
    <t>Segurança</t>
  </si>
  <si>
    <t>Usuário ativo cadastrado.</t>
  </si>
  <si>
    <t>1. Enviar e-mail válido com senha incorreta.</t>
  </si>
  <si>
    <t>{ email válido, password inválido }.</t>
  </si>
  <si>
    <t>HTTP 401; mensagem genérica que não revela se o e-mail existe ou não.</t>
  </si>
  <si>
    <t>Manual</t>
  </si>
  <si>
    <t>CT-004</t>
  </si>
  <si>
    <t>GET /api/auth/me</t>
  </si>
  <si>
    <t>Perfil retornado com token válido</t>
  </si>
  <si>
    <t>Autenticado (qualquer papel)</t>
  </si>
  <si>
    <t>Usuário autenticado com access token válido.</t>
  </si>
  <si>
    <t>1. Chamar GET /api/auth/me com header Authorization: Bearer &lt;token&gt;.</t>
  </si>
  <si>
    <t>Token JWT válido não expirado.</t>
  </si>
  <si>
    <t>HTTP 200; retorna id, nome, e-mail e role atuais do usuário.</t>
  </si>
  <si>
    <t>CT-005</t>
  </si>
  <si>
    <t>Token inválido/expirado retorna 401</t>
  </si>
  <si>
    <t>Nenhuma (token forjado ou expirado).</t>
  </si>
  <si>
    <t>1. Chamar GET /api/auth/me com token inválido, expirado ou ausente.</t>
  </si>
  <si>
    <t>Token corrompido/expirado ou header ausente.</t>
  </si>
  <si>
    <t>HTTP 401 Unauthorized; nenhuma informação de perfil vazada.</t>
  </si>
  <si>
    <t>CT-006</t>
  </si>
  <si>
    <t>POST /api/auth/refresh + /logout</t>
  </si>
  <si>
    <t>Ciclo completo de renovação e revogação de tokens</t>
  </si>
  <si>
    <t>Integração</t>
  </si>
  <si>
    <t>Usuário autenticado possui refresh token válido emitido no login.</t>
  </si>
  <si>
    <t xml:space="preserve">1. Chamar POST /api/auth/refresh com refresh token válido.
2. Confirmar emissão de novo access token.
3. Chamar POST /api/auth/logout.
4. Tentar novo refresh com o mesmo token revogado.</t>
  </si>
  <si>
    <t>Refresh token válido obtido no login.</t>
  </si>
  <si>
    <t>Refresh emite novo access token; após logout, o refresh token é revogado e um novo /refresh com o mesmo token falha.</t>
  </si>
  <si>
    <t>CT-007</t>
  </si>
  <si>
    <t>POST /api/auth/signup</t>
  </si>
  <si>
    <t>Cadastro público cria usuário com papel padrão SOLICITANTE</t>
  </si>
  <si>
    <t>E-mail ainda não cadastrado na base.</t>
  </si>
  <si>
    <t xml:space="preserve">1. Enviar nome, e-mail e senha para POST /api/auth/signup.
2. Consultar o papel do usuário criado.</t>
  </si>
  <si>
    <t>{ name, email, password } de conta nova.</t>
  </si>
  <si>
    <t>HTTP 201; usuário criado com role = SOLICITANTE independentemente do papel enviado no payload.</t>
  </si>
  <si>
    <t>server/tests/rbac.test.ts</t>
  </si>
  <si>
    <t>CT-008</t>
  </si>
  <si>
    <t>Rotas protegidas</t>
  </si>
  <si>
    <t>Requisição sem token é rejeitada</t>
  </si>
  <si>
    <t>Nenhuma.</t>
  </si>
  <si>
    <t>1. Chamar rota protegida (ex.: GET /api/checklists) sem header Authorization.</t>
  </si>
  <si>
    <t>Requisição sem token.</t>
  </si>
  <si>
    <t>HTTP 401 Unauthorized.</t>
  </si>
  <si>
    <t>CT-009</t>
  </si>
  <si>
    <t>Promoção a ADMIN</t>
  </si>
  <si>
    <t>Primeiro usuário ADMIN é promovido via UPDATE SQL e reflete no login seguinte</t>
  </si>
  <si>
    <t>Média</t>
  </si>
  <si>
    <t>ADMIN</t>
  </si>
  <si>
    <t>Usuário SOLICITANTE cadastrado via /signup; acesso direto ao PostgreSQL.</t>
  </si>
  <si>
    <t xml:space="preserve">1. Executar UPDATE users SET role='ADMIN' WHERE email=... .
2. Logout e novo login do usuário.
3. Verificar GET /api/auth/me.</t>
  </si>
  <si>
    <t>UPDATE SQL conforme README + credenciais do usuário.</t>
  </si>
  <si>
    <t>Após novo login, o token/perfil refletem role = ADMIN e o painel administrativo fica acessível.</t>
  </si>
  <si>
    <t>CT-010</t>
  </si>
  <si>
    <t>Token de usuário desativado em sessão ativa</t>
  </si>
  <si>
    <t>Sessão de usuário desativado deixa de ser aceita</t>
  </si>
  <si>
    <t>Usuário autenticado com sessão ativa; ADMIN desativa a conta em seguida.</t>
  </si>
  <si>
    <t xml:space="preserve">1. Autenticar usuário e guardar token.
2. ADMIN desativa o usuário (is_active=false).
3. Reutilizar o token antigo em rota protegida.</t>
  </si>
  <si>
    <t>Token emitido antes da desativação.</t>
  </si>
  <si>
    <t>HTTP 401; acesso recusado mesmo com token ainda não expirado.</t>
  </si>
  <si>
    <t>CT-011</t>
  </si>
  <si>
    <t>RBAC / Autorização</t>
  </si>
  <si>
    <t>POST /api/norms</t>
  </si>
  <si>
    <t>SOLICITANTE não pode criar normas</t>
  </si>
  <si>
    <t>SOLICITANTE</t>
  </si>
  <si>
    <t>Usuário autenticado com papel SOLICITANTE.</t>
  </si>
  <si>
    <t xml:space="preserve">1. Autenticar como SOLICITANTE.
2. Chamar POST /api/norms com payload válido de norma.</t>
  </si>
  <si>
    <t>Payload de norma válido.</t>
  </si>
  <si>
    <t>HTTP 403 Forbidden; norma não é persistida.</t>
  </si>
  <si>
    <t>CT-012</t>
  </si>
  <si>
    <t>OPERADOR não pode criar normas</t>
  </si>
  <si>
    <t>OPERADOR</t>
  </si>
  <si>
    <t>Usuário autenticado com papel OPERADOR.</t>
  </si>
  <si>
    <t xml:space="preserve">1. Autenticar como OPERADOR.
2. Chamar POST /api/norms com payload válido.</t>
  </si>
  <si>
    <t>CT-013</t>
  </si>
  <si>
    <t>ADMIN cadastra novas normas com sucesso</t>
  </si>
  <si>
    <t>Usuário autenticado com papel ADMIN.</t>
  </si>
  <si>
    <t xml:space="preserve">1. Autenticar como ADMIN.
2. Chamar POST /api/norms com payload válido.</t>
  </si>
  <si>
    <t>Payload de norma válido (código, texto, seção).</t>
  </si>
  <si>
    <t>HTTP 201; norma criada em estado de rascunho/pendente de aprovação.</t>
  </si>
  <si>
    <t>CT-014</t>
  </si>
  <si>
    <t>GET /api/users</t>
  </si>
  <si>
    <t>SOLICITANTE é impedido de listar usuários</t>
  </si>
  <si>
    <t>1. Chamar GET /api/users autenticado como SOLICITANTE.</t>
  </si>
  <si>
    <t>—</t>
  </si>
  <si>
    <t>HTTP 403 Forbidden.</t>
  </si>
  <si>
    <t>CT-015</t>
  </si>
  <si>
    <t>OPERADOR é impedido de listar usuários</t>
  </si>
  <si>
    <t>1. Chamar GET /api/users autenticado como OPERADOR.</t>
  </si>
  <si>
    <t>CT-016</t>
  </si>
  <si>
    <t>ADMIN lista todos os usuários</t>
  </si>
  <si>
    <t>Usuário autenticado com papel ADMIN; existem usuários cadastrados.</t>
  </si>
  <si>
    <t>1. Chamar GET /api/users autenticado como ADMIN.</t>
  </si>
  <si>
    <t>HTTP 200; retorna a lista completa de usuários com papéis e status.</t>
  </si>
  <si>
    <t>CT-017</t>
  </si>
  <si>
    <t>GET /api/norms, GET /api/dictionary</t>
  </si>
  <si>
    <t>OPERADOR e SOLICITANTE possuem acesso de leitura à base de conhecimento</t>
  </si>
  <si>
    <t>Normas/termos publicados existentes.</t>
  </si>
  <si>
    <t xml:space="preserve">1. Autenticar como OPERADOR e chamar GET /api/norms.
2. Repetir autenticado como SOLICITANTE.</t>
  </si>
  <si>
    <t>HTTP 200 para ambos os papéis; conteúdo somente leitura, sem opções de edição habilitadas.</t>
  </si>
  <si>
    <t>CT-018</t>
  </si>
  <si>
    <t>GET /api/checklist-catalog/admin</t>
  </si>
  <si>
    <t>Catálogo administrativo é restrito a ADMIN</t>
  </si>
  <si>
    <t>Usuário autenticado como OPERADOR ou SOLICITANTE.</t>
  </si>
  <si>
    <t>1. Chamar GET /api/checklist-catalog/admin autenticado como OPERADOR e como SOLICITANTE.</t>
  </si>
  <si>
    <t>HTTP 403 para ambos os papéis; apenas ADMIN recebe HTTP 200 com a listagem completa.</t>
  </si>
  <si>
    <t>CT-019</t>
  </si>
  <si>
    <t>PUT /api/norms/:id/applicability</t>
  </si>
  <si>
    <t>Alteração de aplicabilidade de norma é restrita a ADMIN e gera auditoria</t>
  </si>
  <si>
    <t>Norma existente cadastrada; usuário ADMIN autenticado.</t>
  </si>
  <si>
    <t xml:space="preserve">1. Tentar alterar aplicabilidade como OPERADOR (esperar 403).
2. Alterar como ADMIN.
3. Consultar JobsIA_audit_logs.</t>
  </si>
  <si>
    <t>Payload de escopo de aplicabilidade (job types).</t>
  </si>
  <si>
    <t>Não-ADMIN recebe 403; ADMIN altera com sucesso (200) e um registro de auditoria é criado com usuário, IP e payload.</t>
  </si>
  <si>
    <t>CT-020</t>
  </si>
  <si>
    <t>GET /api/checklists</t>
  </si>
  <si>
    <t>SOLICITANTE visualiza apenas os próprios checklists</t>
  </si>
  <si>
    <t>Existem checklists de múltiplos usuários no banco de testes.</t>
  </si>
  <si>
    <t xml:space="preserve">1. Autenticar como SOLICITANTE A.
2. Chamar GET /api/checklists.</t>
  </si>
  <si>
    <t>Retorna somente os checklists criados pelo próprio usuário autenticado.</t>
  </si>
  <si>
    <t>Cobertura de código real do arquivo (checklists.ts) é Parcial (3,88% linhas) — ver GAP-001.</t>
  </si>
  <si>
    <t>CT-021</t>
  </si>
  <si>
    <t>GET /api/checklists?userId=</t>
  </si>
  <si>
    <t>Tentativa de SOLICITANTE filtrar checklist de terceiros é ignorada/rejeitada</t>
  </si>
  <si>
    <t>Existem checklists de outro usuário.</t>
  </si>
  <si>
    <t xml:space="preserve">1. Autenticar como SOLICITANTE A.
2. Chamar GET /api/checklists?userId=&lt;id de outro usuário&gt;.</t>
  </si>
  <si>
    <t>userId de outro usuário na query string.</t>
  </si>
  <si>
    <t>O parâmetro é ignorado ou rejeitado; resposta continua restrita aos checklists do próprio usuário autenticado.</t>
  </si>
  <si>
    <t>CT-022</t>
  </si>
  <si>
    <t>OPERADOR consegue ver todos os checklists ou filtrar por usuário</t>
  </si>
  <si>
    <t>Existem checklists de múltiplos usuários.</t>
  </si>
  <si>
    <t xml:space="preserve">1. Autenticar como OPERADOR.
2. Chamar GET /api/checklists sem filtro e depois com userId específico.</t>
  </si>
  <si>
    <t>userId válido de outro usuário.</t>
  </si>
  <si>
    <t>Sem filtro retorna todos os checklists; com filtro retorna apenas os do usuário indicado.</t>
  </si>
  <si>
    <t>CT-023</t>
  </si>
  <si>
    <t>POST /api/checklists</t>
  </si>
  <si>
    <t>user_id do checklist é derivado do JWT, ignorando o payload do cliente</t>
  </si>
  <si>
    <t>Usuário SOLICITANTE autenticado.</t>
  </si>
  <si>
    <t xml:space="preserve">1. Autenticar como usuário A.
2. Enviar POST /api/checklists com user_id de outro usuário no corpo da requisição.</t>
  </si>
  <si>
    <t>Payload de checklist válido contendo user_id forjado de outro usuário.</t>
  </si>
  <si>
    <t>O checklist criado pertence ao usuário do token (A), independentemente do user_id enviado no payload.</t>
  </si>
  <si>
    <t>Cobertura de código real do arquivo (checklists.ts) é Parcial (3,88% linhas) — ver GAP-002.</t>
  </si>
  <si>
    <t>CT-024</t>
  </si>
  <si>
    <t>POST /api/dictionary</t>
  </si>
  <si>
    <t>Dicionário bloqueia criação de termo por SOLICITANTE</t>
  </si>
  <si>
    <t>Usuário autenticado como SOLICITANTE.</t>
  </si>
  <si>
    <t>1. Chamar POST /api/dictionary com payload válido de termo.</t>
  </si>
  <si>
    <t>Payload válido de termo do dicionário.</t>
  </si>
  <si>
    <t>HTTP 403 Forbidden; termo não é persistido.</t>
  </si>
  <si>
    <t>server/tests/critical_routes.unit.test.ts</t>
  </si>
  <si>
    <t>CT-025</t>
  </si>
  <si>
    <t>Usuários</t>
  </si>
  <si>
    <t>POST /api/users</t>
  </si>
  <si>
    <t>ADMIN cadastra novo usuário informando papel</t>
  </si>
  <si>
    <t>Usuário ADMIN autenticado.</t>
  </si>
  <si>
    <t>1. Chamar POST /api/users com nome, e-mail, senha e role.</t>
  </si>
  <si>
    <t>{ name, email, password, role }.</t>
  </si>
  <si>
    <t>HTTP 201; usuário criado com o papel informado.</t>
  </si>
  <si>
    <t>CT-026</t>
  </si>
  <si>
    <t>PUT /api/users/:id</t>
  </si>
  <si>
    <t>Atualização de dados/papel de um usuário existente</t>
  </si>
  <si>
    <t>Usuário existente no banco de testes; ADMIN autenticado.</t>
  </si>
  <si>
    <t>1. Chamar PUT /api/users/:id alterando nome e/ou role.</t>
  </si>
  <si>
    <t>{ name?, role?, is_active? } parcial.</t>
  </si>
  <si>
    <t>HTTP 200; alterações persistidas e refletidas em consultas subsequentes.</t>
  </si>
  <si>
    <t>Sem teste automatizado direto (users.ts com 6,72% linhas) — ver GAP-019.</t>
  </si>
  <si>
    <t>CT-027</t>
  </si>
  <si>
    <t>Criação transacional de usuário sofre rollback em caso de erro</t>
  </si>
  <si>
    <t>Cenário forçando falha no meio da transação (ex.: violação de constraint).</t>
  </si>
  <si>
    <t>1. Enviar payload que provoque erro após a etapa inicial da transação (ex.: e-mail duplicado).</t>
  </si>
  <si>
    <t>Payload com e-mail já existente.</t>
  </si>
  <si>
    <t>Nenhum registro parcial é gravado; a transação é revertida integralmente e erro apropriado é retornado.</t>
  </si>
  <si>
    <t>CT-028</t>
  </si>
  <si>
    <t>Dicionário de Termos</t>
  </si>
  <si>
    <t>GET /api/dictionary</t>
  </si>
  <si>
    <t>Listagem pública de termos do dicionário</t>
  </si>
  <si>
    <t>Existem termos publicados.</t>
  </si>
  <si>
    <t>1. Chamar GET /api/dictionary sem autenticação.</t>
  </si>
  <si>
    <t>HTTP 200; retorna termos vigentes (publicados).</t>
  </si>
  <si>
    <t>CT-029</t>
  </si>
  <si>
    <t>ADMIN cria novo termo com sucesso</t>
  </si>
  <si>
    <t>ADMIN autenticado.</t>
  </si>
  <si>
    <t>1. Chamar POST /api/dictionary com termo, definição e categoria.</t>
  </si>
  <si>
    <t>{ term, definition, category }.</t>
  </si>
  <si>
    <t>HTTP 201; termo criado em estado pendente de aprovação.</t>
  </si>
  <si>
    <t>CT-030</t>
  </si>
  <si>
    <t>Criação valida campos obrigatórios antes de persistir</t>
  </si>
  <si>
    <t>1. Enviar payload sem campos obrigatórios (ex.: sem "term").</t>
  </si>
  <si>
    <t>Payload incompleto.</t>
  </si>
  <si>
    <t>HTTP 400/422 com mensagem de validação; nenhum registro é criado.</t>
  </si>
  <si>
    <t>CT-031</t>
  </si>
  <si>
    <t>PUT /api/dictionary/:id</t>
  </si>
  <si>
    <t>Atualização rejeita payload vazio sem consultar o termo</t>
  </si>
  <si>
    <t>Termo existente cadastrado.</t>
  </si>
  <si>
    <t>1. Chamar PUT /api/dictionary/:id com corpo vazio ou sem campos alteráveis.</t>
  </si>
  <si>
    <t>Payload vazio {}.</t>
  </si>
  <si>
    <t>HTTP 400 antes de qualquer consulta ao banco (fail-fast); termo original permanece inalterado.</t>
  </si>
  <si>
    <t>CT-032</t>
  </si>
  <si>
    <t>POST /api/dictionary/:id/approve</t>
  </si>
  <si>
    <t>Fluxo de aprovação de termo pendente</t>
  </si>
  <si>
    <t>Termo em estado pendente de aprovação.</t>
  </si>
  <si>
    <t>1. Chamar POST /api/dictionary/:id/approve.</t>
  </si>
  <si>
    <t>ID de termo pendente.</t>
  </si>
  <si>
    <t>HTTP 200; termo passa para estado aprovado, ainda não publicado.</t>
  </si>
  <si>
    <t>CT-033</t>
  </si>
  <si>
    <t>POST /api/dictionary/:id/publish</t>
  </si>
  <si>
    <t>Publicação de termo o torna ativo e visível no contexto da LIA</t>
  </si>
  <si>
    <t>Termo aprovado; ADMIN autenticado.</t>
  </si>
  <si>
    <t xml:space="preserve">1. Publicar o termo via POST /:id/publish.
2. Consultar GET /api/ai/context.</t>
  </si>
  <si>
    <t>ID de termo aprovado.</t>
  </si>
  <si>
    <t>Termo passa a ser a versão ativa e aparece no contexto/prompt injetado para a LIA (ADR 003).</t>
  </si>
  <si>
    <t>server/tests/knowledge_integration.test.ts</t>
  </si>
  <si>
    <t>CT-034</t>
  </si>
  <si>
    <t>POST /api/dictionary/:id/rollback</t>
  </si>
  <si>
    <t>Rollback sem versão anterior desfaz a transação com segurança</t>
  </si>
  <si>
    <t>Termo publicado sem histórico de versão anterior.</t>
  </si>
  <si>
    <t>1. Chamar POST /:id/rollback em termo sem versão anterior.</t>
  </si>
  <si>
    <t>ID de termo sem histórico.</t>
  </si>
  <si>
    <t>HTTP 4xx controlado; a transação aberta é revertida e o estado do termo permanece consistente (sem corrupção).</t>
  </si>
  <si>
    <t>CT-035</t>
  </si>
  <si>
    <t>DELETE /api/dictionary/:id</t>
  </si>
  <si>
    <t>Exclusão de termo restrita a ADMIN</t>
  </si>
  <si>
    <t>Termo existente; usuários OPERADOR/SOLICITANTE e ADMIN disponíveis.</t>
  </si>
  <si>
    <t xml:space="preserve">1. Tentar excluir como OPERADOR (esperar 403).
2. Excluir como ADMIN.</t>
  </si>
  <si>
    <t>ID de termo existente.</t>
  </si>
  <si>
    <t>Não-ADMIN recebe 403; ADMIN exclui com sucesso (200/204).</t>
  </si>
  <si>
    <t>CT-036</t>
  </si>
  <si>
    <t>POST /api/dictionary/seed</t>
  </si>
  <si>
    <t>Seed inicial de termos do dicionário</t>
  </si>
  <si>
    <t>Baixa</t>
  </si>
  <si>
    <t>Banco de testes vazio ou com dados mínimos.</t>
  </si>
  <si>
    <t>1. Chamar POST /api/dictionary/seed como ADMIN.</t>
  </si>
  <si>
    <t>HTTP 200/201; termos padrão são inseridos sem duplicar em execuções repetidas (idempotente).</t>
  </si>
  <si>
    <t>CT-037</t>
  </si>
  <si>
    <t>Publicação de termo inexistente encerra a transação corretamente</t>
  </si>
  <si>
    <t>ID inexistente no banco.</t>
  </si>
  <si>
    <t>1. Chamar POST /api/dictionary/999999/publish.</t>
  </si>
  <si>
    <t>ID inexistente.</t>
  </si>
  <si>
    <t>HTTP 404 controlado; conexão/transação é liberada corretamente (sem vazamento de conexão no pool).</t>
  </si>
  <si>
    <t>CT-038</t>
  </si>
  <si>
    <t>Normas</t>
  </si>
  <si>
    <t>GET /api/norms</t>
  </si>
  <si>
    <t>Listagem pública de normas publicadas</t>
  </si>
  <si>
    <t>Normas publicadas existentes.</t>
  </si>
  <si>
    <t>1. Chamar GET /api/norms sem autenticação.</t>
  </si>
  <si>
    <t>HTTP 200; lista apenas normas vigentes/publicadas.</t>
  </si>
  <si>
    <t>CT-039</t>
  </si>
  <si>
    <t>PUT /api/norms/:id</t>
  </si>
  <si>
    <t>ADMIN atualiza norma existente</t>
  </si>
  <si>
    <t>Norma cadastrada.</t>
  </si>
  <si>
    <t>1. Chamar PUT /api/norms/:id alterando texto/seção.</t>
  </si>
  <si>
    <t>Payload parcial de atualização.</t>
  </si>
  <si>
    <t>HTTP 200; alterações refletidas em nova versão de rascunho da norma.</t>
  </si>
  <si>
    <t>Sem teste automatizado direto do ciclo publicar/rollback — ver GAP-022.</t>
  </si>
  <si>
    <t>CT-040</t>
  </si>
  <si>
    <t>Aplicabilidade aceita null como "todos os tipos de job"</t>
  </si>
  <si>
    <t>Norma existente.</t>
  </si>
  <si>
    <t>1. Enviar escopo de aplicabilidade com valor null.</t>
  </si>
  <si>
    <t>{ jobTypeScope: null }.</t>
  </si>
  <si>
    <t>HTTP 200; norma passa a se aplicar a todos os tipos de job.</t>
  </si>
  <si>
    <t>server/tests/norms_applicability.unit.test.ts</t>
  </si>
  <si>
    <t>CT-041</t>
  </si>
  <si>
    <t>Normalização aceita escopo válido de tipos de job</t>
  </si>
  <si>
    <t>Norma existente; tipos de job válidos cadastrados.</t>
  </si>
  <si>
    <t>1. Enviar lista válida de job types no escopo.</t>
  </si>
  <si>
    <t>{ jobTypeScope: ["UNIX", "WINDOWS"] }.</t>
  </si>
  <si>
    <t>HTTP 200; escopo normalizado e persistido corretamente.</t>
  </si>
  <si>
    <t>CT-042</t>
  </si>
  <si>
    <t>Escopo com valores inseguros/inválidos é rejeitado</t>
  </si>
  <si>
    <t>1. Enviar valores fora do domínio permitido ou com payload malicioso no escopo.</t>
  </si>
  <si>
    <t>{ jobTypeScope: ["&lt;script&gt;", "TIPO_INEXISTENTE"] }.</t>
  </si>
  <si>
    <t>HTTP 400/422; nenhuma alteração é persistida.</t>
  </si>
  <si>
    <t>CT-043</t>
  </si>
  <si>
    <t>approve / publish / rollback</t>
  </si>
  <si>
    <t>Fluxo completo de versionamento de norma (aprovar, publicar, reverter)</t>
  </si>
  <si>
    <t>Norma em rascunho.</t>
  </si>
  <si>
    <t xml:space="preserve">1. Aprovar a norma.
2. Publicar a norma.
3. Editar novamente e publicar nova versão.
4. Executar rollback para a versão anterior.</t>
  </si>
  <si>
    <t>Sequência de chamadas aprovar → publicar → nova edição → rollback.</t>
  </si>
  <si>
    <t>Cada etapa retorna 200; após rollback, a versão anterior volta a ser a ativa e o histórico de versões é preservado.</t>
  </si>
  <si>
    <t>Sem teste automatizado direto — ver GAP-022.</t>
  </si>
  <si>
    <t>CT-044</t>
  </si>
  <si>
    <t>DELETE /api/norms/:id</t>
  </si>
  <si>
    <t>Exclusão de norma restrita a ADMIN</t>
  </si>
  <si>
    <t>ID de norma existente.</t>
  </si>
  <si>
    <t>Não-ADMIN recebe 403; ADMIN exclui com sucesso.</t>
  </si>
  <si>
    <t>CT-045</t>
  </si>
  <si>
    <t>POST /api/norms/seed</t>
  </si>
  <si>
    <t>Seed inicial de normas</t>
  </si>
  <si>
    <t>1. Chamar POST /api/norms/seed como ADMIN.</t>
  </si>
  <si>
    <t>HTTP 200/201; normas padrão inseridas de forma idempotente.</t>
  </si>
  <si>
    <t>CT-046</t>
  </si>
  <si>
    <t>GET /api/ai/context</t>
  </si>
  <si>
    <t>Apenas normas publicadas são injetadas no prompt de contexto da LIA</t>
  </si>
  <si>
    <t>Existe norma em rascunho e outra publicada.</t>
  </si>
  <si>
    <t xml:space="preserve">1. Consultar GET /api/ai/context.
2. Conferir se apenas o conteúdo publicado aparece.</t>
  </si>
  <si>
    <t>O contexto retornado contém somente normas com status publicado; rascunhos não aparecem (ADR 003).</t>
  </si>
  <si>
    <t>CT-047</t>
  </si>
  <si>
    <t>Cache de contexto</t>
  </si>
  <si>
    <t>Alteração e publicação de norma invalida o cache local do backend</t>
  </si>
  <si>
    <t>Cache de contexto previamente aquecido.</t>
  </si>
  <si>
    <t xml:space="preserve">1. Consultar GET /api/ai/context (cache aquecido).
2. Publicar nova versão de norma.
3. Consultar novamente o contexto.</t>
  </si>
  <si>
    <t>A segunda consulta reflete a nova versão publicada, confirmando invalidação do cache.</t>
  </si>
  <si>
    <t>CT-048</t>
  </si>
  <si>
    <t>Motor de Validação (N/PD/004/02)</t>
  </si>
  <si>
    <t>Regra 5.1.1</t>
  </si>
  <si>
    <t>Nomenclatura Unix válida é aceita</t>
  </si>
  <si>
    <t>Motor de validação carregado com regras da norma.</t>
  </si>
  <si>
    <t>1. Submeter nome de arquivo Unix conforme padrão da seção 5.1.1.</t>
  </si>
  <si>
    <t>Nome de arquivo Unix conforme padrão.</t>
  </si>
  <si>
    <t>Validação aprova sem apontamentos bloqueantes para a regra 5.1.1.</t>
  </si>
  <si>
    <t>server/tests/validation.test.ts</t>
  </si>
  <si>
    <t>Teste é de integração (requer DATABASE_URL_TEST); lógica isolada de validationEngine.ts tem apenas 16,73% de linhas cobertas — ver GAP-005 a GAP-007.</t>
  </si>
  <si>
    <t>CT-049</t>
  </si>
  <si>
    <t>Nomenclatura Unix inválida (prefixo incorreto) é rejeitada</t>
  </si>
  <si>
    <t>Motor de validação carregado.</t>
  </si>
  <si>
    <t>1. Submeter nome de arquivo Unix com prefixo fora do padrão.</t>
  </si>
  <si>
    <t>Nome de arquivo com prefixo incorreto.</t>
  </si>
  <si>
    <t>Validação retorna erro bloqueante referenciando a regra 5.1.1.</t>
  </si>
  <si>
    <t>CT-050</t>
  </si>
  <si>
    <t>Nomenclatura Unix inválida (mais de 36 caracteres) é rejeitada</t>
  </si>
  <si>
    <t>1. Submeter nome de arquivo Unix com mais de 36 caracteres.</t>
  </si>
  <si>
    <t>Nome de arquivo com 37+ caracteres.</t>
  </si>
  <si>
    <t>Validação retorna erro bloqueante de tamanho excedido.</t>
  </si>
  <si>
    <t>CT-051</t>
  </si>
  <si>
    <t>Regra 5.1.1 (exceção Shell Script)</t>
  </si>
  <si>
    <t>Shell Script com até 16 caracteres é aceito</t>
  </si>
  <si>
    <t>1. Submeter nome de shell script com 16 caracteres ou menos.</t>
  </si>
  <si>
    <t>Nome de shell script ≤ 16 caracteres.</t>
  </si>
  <si>
    <t>Validação aprova, aplicando a exceção de tamanho para shell scripts.</t>
  </si>
  <si>
    <t>CT-052</t>
  </si>
  <si>
    <t>Shell Script com mais de 16 caracteres é rejeitado</t>
  </si>
  <si>
    <t>1. Submeter nome de shell script com mais de 16 caracteres.</t>
  </si>
  <si>
    <t>Nome de shell script &gt; 16 caracteres.</t>
  </si>
  <si>
    <t>Validação retorna erro bloqueante, exceção não se aplica acima do limite.</t>
  </si>
  <si>
    <t>CT-053</t>
  </si>
  <si>
    <t>Regra 5.1.1 (exceção JAR)</t>
  </si>
  <si>
    <t>JAR com id de até 18 caracteres é aceito</t>
  </si>
  <si>
    <t>1. Submeter nome de arquivo JAR com id de até 18 caracteres.</t>
  </si>
  <si>
    <t>Nome de JAR com id ≤ 18 caracteres.</t>
  </si>
  <si>
    <t>Validação aprova, aplicando a exceção específica de JAR.</t>
  </si>
  <si>
    <t>CT-054</t>
  </si>
  <si>
    <t>JAR com id acima de 18 caracteres é rejeitado</t>
  </si>
  <si>
    <t>1. Submeter nome de arquivo JAR com id acima de 18 caracteres.</t>
  </si>
  <si>
    <t>Nome de JAR com id &gt; 18 caracteres.</t>
  </si>
  <si>
    <t>Validação retorna erro bloqueante.</t>
  </si>
  <si>
    <t>CT-055</t>
  </si>
  <si>
    <t>Regra 5.1.2</t>
  </si>
  <si>
    <t>Nomenclatura Windows válida é aceita</t>
  </si>
  <si>
    <t>1. Submeter nome de arquivo Windows conforme padrão 5.1.2.</t>
  </si>
  <si>
    <t>Nome de arquivo Windows válido.</t>
  </si>
  <si>
    <t>Validação aprova sem apontamentos bloqueantes.</t>
  </si>
  <si>
    <t>CT-056</t>
  </si>
  <si>
    <t>Regra 5.1.3</t>
  </si>
  <si>
    <t>Nomenclatura Mainframe válida é aceita</t>
  </si>
  <si>
    <t>1. Submeter nome de arquivo Mainframe conforme padrão 5.1.3.</t>
  </si>
  <si>
    <t>Nome de arquivo Mainframe válido.</t>
  </si>
  <si>
    <t>CT-057</t>
  </si>
  <si>
    <t>Regras 5.2 / 5.2.1</t>
  </si>
  <si>
    <t>Objeto procedural SQL e nome do objeto válidos são aceitos</t>
  </si>
  <si>
    <t>1. Submeter checklist com objeto procedural SQL e nome de objeto conforme padrão.</t>
  </si>
  <si>
    <t>Nome de objeto SQL válido.</t>
  </si>
  <si>
    <t>Validação aprova as regras 5.2 e 5.2.1 sem apontamentos.</t>
  </si>
  <si>
    <t>CT-058</t>
  </si>
  <si>
    <t>Regra 5.2</t>
  </si>
  <si>
    <t>Objeto procedural SQL inválido é rejeitado</t>
  </si>
  <si>
    <t>1. Submeter nome de objeto SQL fora do padrão da norma.</t>
  </si>
  <si>
    <t>Nome de objeto SQL inválido.</t>
  </si>
  <si>
    <t>Validação retorna erro bloqueante referenciando a regra 5.2.</t>
  </si>
  <si>
    <t>CT-059</t>
  </si>
  <si>
    <t>Regra 5.3.1</t>
  </si>
  <si>
    <t>Fita magnética Windows/Unix válida é aceita</t>
  </si>
  <si>
    <t>1. Submeter nome de fita magnética Windows/Unix conforme padrão.</t>
  </si>
  <si>
    <t>Nome de fita conforme 5.3.1.</t>
  </si>
  <si>
    <t>Validação aprova sem apontamentos.</t>
  </si>
  <si>
    <t>CT-060</t>
  </si>
  <si>
    <t>Regra 5.3.2</t>
  </si>
  <si>
    <t>Fita magnética Unix (banco de dados) válida é aceita</t>
  </si>
  <si>
    <t>1. Submeter nome de fita magnética Unix de banco de dados conforme padrão.</t>
  </si>
  <si>
    <t>Nome de fita conforme 5.3.2.</t>
  </si>
  <si>
    <t>CT-061</t>
  </si>
  <si>
    <t>Regra 5.4.1</t>
  </si>
  <si>
    <t>Connect:Direct de envio válido é aceito</t>
  </si>
  <si>
    <t>1. Submeter nome de arquivo de envio Connect:Direct conforme padrão.</t>
  </si>
  <si>
    <t>Nome conforme 5.4.1.</t>
  </si>
  <si>
    <t>CT-062</t>
  </si>
  <si>
    <t>Regra 5.4.2</t>
  </si>
  <si>
    <t>Connect:Direct de recebimento válido é aceito</t>
  </si>
  <si>
    <t>1. Submeter nome de arquivo de recebimento Connect:Direct conforme padrão.</t>
  </si>
  <si>
    <t>Nome conforme 5.4.2.</t>
  </si>
  <si>
    <t>CT-063</t>
  </si>
  <si>
    <t>Regra transversal</t>
  </si>
  <si>
    <t>"Application" não pode ser usada como nome de arquivo</t>
  </si>
  <si>
    <t>1. Submeter checklist usando literalmente "Application" como file_name.</t>
  </si>
  <si>
    <t>file_name = "Application".</t>
  </si>
  <si>
    <t>Validação bloqueia com erro específico impedindo o uso do nome reservado.</t>
  </si>
  <si>
    <t>CT-064</t>
  </si>
  <si>
    <t>Exceção tipos 3 e 10</t>
  </si>
  <si>
    <t>Tipos de checklist 3 e 10 não validam Application como file_name</t>
  </si>
  <si>
    <t>Motor de validação carregado; checklist de tipo 3 ou 10.</t>
  </si>
  <si>
    <t>1. Submeter checklist de tipo 3 (ou 10) com file_name = "Application".</t>
  </si>
  <si>
    <t>Checklist tipo 3/10 com file_name = "Application".</t>
  </si>
  <si>
    <t>A regra de bloqueio de "Application" como nome de arquivo não se aplica a esses tipos; validação segue normalmente.</t>
  </si>
  <si>
    <t>CT-065</t>
  </si>
  <si>
    <t>Schema de parâmetros</t>
  </si>
  <si>
    <t>Tipos de dados e obrigatoriedade de parâmetros são validados</t>
  </si>
  <si>
    <t>Job com parâmetros tipados e obrigatórios cadastrado.</t>
  </si>
  <si>
    <t>1. Submeter checklist omitindo parâmetro obrigatório e com tipo de dado incorreto em outro campo.</t>
  </si>
  <si>
    <t>Payload com parâmetro obrigatório ausente e tipo incompatível.</t>
  </si>
  <si>
    <t>Validação retorna erros específicos para o campo ausente e para o tipo incompatível.</t>
  </si>
  <si>
    <t>CT-066</t>
  </si>
  <si>
    <t>Dependência entre campos</t>
  </si>
  <si>
    <t>Validação de dependência entre campos de parâmetros</t>
  </si>
  <si>
    <t>Job com parâmetros interdependentes (ex.: campo B obrigatório apenas se campo A = X).</t>
  </si>
  <si>
    <t>1. Submeter payload que viole a dependência entre campos.</t>
  </si>
  <si>
    <t>Payload com campo condicional ausente/inconsistente.</t>
  </si>
  <si>
    <t>Validação retorna erro apontando a dependência não satisfeita.</t>
  </si>
  <si>
    <t>CT-067</t>
  </si>
  <si>
    <t>Normalização</t>
  </si>
  <si>
    <t>Normalização case-insensitive dos parâmetros na validação</t>
  </si>
  <si>
    <t>1. Submeter valores de parâmetros com variação de maiúsculas/minúsculas em relação ao esperado.</t>
  </si>
  <si>
    <t>Parâmetros com caixa alternada (ex.: "unix" vs "UNIX").</t>
  </si>
  <si>
    <t>Validação trata os valores de forma case-insensitive e aprova corretamente.</t>
  </si>
  <si>
    <t>CT-068</t>
  </si>
  <si>
    <t>POST /api/validate-checklist</t>
  </si>
  <si>
    <t>Execução de validação com sucesso (sem erros bloqueantes)</t>
  </si>
  <si>
    <t>Payload de checklist totalmente conforme.</t>
  </si>
  <si>
    <t>1. Chamar POST /api/validate-checklist com payload válido.</t>
  </si>
  <si>
    <t>Checklist conforme todas as regras aplicáveis.</t>
  </si>
  <si>
    <t>HTTP 200; relatório de validação sem erros bloqueantes.</t>
  </si>
  <si>
    <t>CT-069</t>
  </si>
  <si>
    <t>Validação retorna falha bloqueante para nomenclatura inválida</t>
  </si>
  <si>
    <t>Payload de checklist com nomenclatura inválida.</t>
  </si>
  <si>
    <t>1. Chamar POST /api/validate-checklist com nome de arquivo fora do padrão.</t>
  </si>
  <si>
    <t>Checklist com nomenclatura não conforme.</t>
  </si>
  <si>
    <t>HTTP 200 com relatório contendo pelo menos um erro bloqueante detalhado.</t>
  </si>
  <si>
    <t>CT-070</t>
  </si>
  <si>
    <t>Salvamento gera status "Concluído" quando a validação passa</t>
  </si>
  <si>
    <t>Payload de checklist conforme.</t>
  </si>
  <si>
    <t xml:space="preserve">1. Chamar POST /api/checklists com payload válido.
2. Consultar o status do checklist salvo.</t>
  </si>
  <si>
    <t>Checklist conforme todas as regras.</t>
  </si>
  <si>
    <t>Checklist é salvo com status "Concluído".</t>
  </si>
  <si>
    <t>CT-071</t>
  </si>
  <si>
    <t>Salvamento força status "Falha de Validação" quando há erro bloqueante</t>
  </si>
  <si>
    <t>Payload de checklist com erro bloqueante.</t>
  </si>
  <si>
    <t xml:space="preserve">1. Chamar POST /api/checklists com payload não conforme.
2. Consultar o status salvo.</t>
  </si>
  <si>
    <t>Checklist com nomenclatura/campo inválido.</t>
  </si>
  <si>
    <t>Checklist é salvo (não descartado) com status "Falha de Validação", preservando rastreabilidade (ADR 002).</t>
  </si>
  <si>
    <t>CT-072</t>
  </si>
  <si>
    <t>Sincronismo obrigatório</t>
  </si>
  <si>
    <t>Validação síncrona é sempre acionada antes de salvar checklist ou gerar PDF</t>
  </si>
  <si>
    <t>Payload de checklist qualquer.</t>
  </si>
  <si>
    <t>1. Tentar contornar a validação chamando diretamente a geração de PDF sem checklist validado previamente.</t>
  </si>
  <si>
    <t>Requisição direta de PDF sem checklist salvo/validado.</t>
  </si>
  <si>
    <t>O sistema não permite gerar PDF sem que a validação determinística tenha sido executada e o checklist esteja salvo (ADR 002).</t>
  </si>
  <si>
    <t>CT-073</t>
  </si>
  <si>
    <t>Checklists</t>
  </si>
  <si>
    <t>Listagem de checklists conforme papel do usuário</t>
  </si>
  <si>
    <t>Checklists existentes no banco de testes.</t>
  </si>
  <si>
    <t>1. Chamar GET /api/checklists autenticado.</t>
  </si>
  <si>
    <t>HTTP 200; lista filtrada conforme regras de RBAC do papel do usuário.</t>
  </si>
  <si>
    <t>CT-074</t>
  </si>
  <si>
    <t>Criação de checklist estruturado com sucesso</t>
  </si>
  <si>
    <t>Payload estruturado válido; job cadastrado.</t>
  </si>
  <si>
    <t>1. Chamar POST /api/checklists com payload estruturado completo.</t>
  </si>
  <si>
    <t>Payload de checklist estruturado válido.</t>
  </si>
  <si>
    <t>HTTP 201; checklist criado e retornado com ID.</t>
  </si>
  <si>
    <t>server/tests/checklist_security.test.ts</t>
  </si>
  <si>
    <t>CT-075</t>
  </si>
  <si>
    <t>Falha de validação estruturada é reportada corretamente</t>
  </si>
  <si>
    <t>Payload estruturado incompleto/incorreto.</t>
  </si>
  <si>
    <t>1. Chamar POST /api/checklists com payload estruturado inválido.</t>
  </si>
  <si>
    <t>HTTP 4xx com detalhamento dos campos inválidos; nenhum checklist órfão é criado.</t>
  </si>
  <si>
    <t>CT-076</t>
  </si>
  <si>
    <t>Idempotência evita duplicidade no reenvio da mesma requisição</t>
  </si>
  <si>
    <t>Chave de idempotência conhecida.</t>
  </si>
  <si>
    <t xml:space="preserve">1. Enviar POST /api/checklists com chave de idempotência X.
2. Reenviar a mesma requisição com a mesma chave X.</t>
  </si>
  <si>
    <t>Mesmo payload e mesma chave de idempotência.</t>
  </si>
  <si>
    <t>A segunda requisição não cria um novo registro; retorna o checklist já existente.</t>
  </si>
  <si>
    <t>Cobertura de código real do arquivo (checklists.ts) é Parcial (3,88% linhas) — ver GAP-003.</t>
  </si>
  <si>
    <t>CT-077</t>
  </si>
  <si>
    <t>Retry com nova chave de idempotência processa novo checklist</t>
  </si>
  <si>
    <t>Chave de idempotência anterior já usada.</t>
  </si>
  <si>
    <t>1. Enviar POST /api/checklists com o mesmo payload, porém nova chave de idempotência.</t>
  </si>
  <si>
    <t>Mesmo payload, chave de idempotência diferente.</t>
  </si>
  <si>
    <t>Um novo checklist distinto é criado normalmente.</t>
  </si>
  <si>
    <t>CT-078</t>
  </si>
  <si>
    <t>Erro de schema retorna resposta controlada sem quebrar o servidor</t>
  </si>
  <si>
    <t>Payload propositalmente malformado (JSON incompatível com o schema).</t>
  </si>
  <si>
    <t>1. Enviar payload com estrutura de dados incompatível com o schema esperado.</t>
  </si>
  <si>
    <t>Payload malformado.</t>
  </si>
  <si>
    <t>HTTP 400/422 com mensagem de erro controlada; servidor permanece estável e responde a requisições subsequentes.</t>
  </si>
  <si>
    <t>CT-079</t>
  </si>
  <si>
    <t>GET /api/checklists/:id/pdf</t>
  </si>
  <si>
    <t>Download de PDF autenticado do próprio checklist</t>
  </si>
  <si>
    <t>Checklist existente pertencente ao usuário autenticado.</t>
  </si>
  <si>
    <t>1. Chamar GET /api/checklists/:id/pdf autenticado.</t>
  </si>
  <si>
    <t>ID de checklist próprio.</t>
  </si>
  <si>
    <t>HTTP 200; retorna arquivo PDF válido (Content-Type application/pdf).</t>
  </si>
  <si>
    <t>server/tests/pdf.test.ts</t>
  </si>
  <si>
    <t>Caso de integração é ignorado localmente sem PostgreSQL (roda no pipeline) — ver GAP-004.</t>
  </si>
  <si>
    <t>CT-080</t>
  </si>
  <si>
    <t>Download de PDF bloqueia solicitante de checklist de outro usuário</t>
  </si>
  <si>
    <t>Checklist pertencente a outro usuário.</t>
  </si>
  <si>
    <t xml:space="preserve">1. Autenticar como SOLICITANTE A.
2. Chamar GET /api/checklists/:id/pdf de checklist do usuário B.</t>
  </si>
  <si>
    <t>ID de checklist de outro usuário.</t>
  </si>
  <si>
    <t>HTTP 403/404; PDF não é retornado.</t>
  </si>
  <si>
    <t>CT-081</t>
  </si>
  <si>
    <t>Checklist de Application (v2)</t>
  </si>
  <si>
    <t>POST /api/checklists/application</t>
  </si>
  <si>
    <t>Endpoint exige autenticação antes de validar o payload</t>
  </si>
  <si>
    <t>Nenhum token enviado.</t>
  </si>
  <si>
    <t>1. Chamar POST /api/checklists/application sem header Authorization.</t>
  </si>
  <si>
    <t>Payload de Application válido, sem token.</t>
  </si>
  <si>
    <t>HTTP 401, retornado antes de qualquer validação de payload (fail-fast de autenticação).</t>
  </si>
  <si>
    <t>CT-082</t>
  </si>
  <si>
    <t>Payload autenticado inválido retorna 422 sem consultar o domínio</t>
  </si>
  <si>
    <t>Usuário autenticado.</t>
  </si>
  <si>
    <t>1. Enviar payload de Application inválido (schema quebrado).</t>
  </si>
  <si>
    <t>Payload inválido.</t>
  </si>
  <si>
    <t>HTTP 422 retornado sem realizar consultas ao banco/domínio (validação de schema ocorre antes de qualquer I/O).</t>
  </si>
  <si>
    <t>CT-083</t>
  </si>
  <si>
    <t>Idempotência é respeitada antes de reprocessar o checklist</t>
  </si>
  <si>
    <t>Chave de idempotência já usada em requisição anterior.</t>
  </si>
  <si>
    <t>1. Reenviar POST /api/checklists/application com a mesma chave de idempotência.</t>
  </si>
  <si>
    <t>Mesma chave de idempotência de requisição anterior.</t>
  </si>
  <si>
    <t>A requisição não reprocessa a criação; retorna o resultado já existente.</t>
  </si>
  <si>
    <t>CT-084</t>
  </si>
  <si>
    <t>Criação de Application com múltiplos jobs, ponte, genérico e agendamento</t>
  </si>
  <si>
    <t>Jobs, genéricos e pontes cadastrados no catálogo.</t>
  </si>
  <si>
    <t xml:space="preserve">1. Montar payload com jobs ordenados, ponte, genérico, estratégia de servidores e agendamento (única/data-hora/recorrência).
2. Chamar POST /api/checklists/application.</t>
  </si>
  <si>
    <t>Payload completo de Application v2.</t>
  </si>
  <si>
    <t>HTTP 201; checklist de Application criado com todos os jobs vinculados na ordem correta.</t>
  </si>
  <si>
    <t>server/tests/checklist_schema_v2.test.ts</t>
  </si>
  <si>
    <t>Caminho de persistência completo ainda depende da suíte integrada — ver GAP-025.</t>
  </si>
  <si>
    <t>CT-085</t>
  </si>
  <si>
    <t>Schema v2</t>
  </si>
  <si>
    <t>Schema v2 exige responsável, servidor compartilhado e ordem contínua dos jobs</t>
  </si>
  <si>
    <t>Payload de Application com múltiplos jobs.</t>
  </si>
  <si>
    <t>1. Submeter payload sem responsável definido, ou com ordem de jobs descontínua (ex.: 1, 3).</t>
  </si>
  <si>
    <t>Payload com lacunas na ordenação/responsável ausente.</t>
  </si>
  <si>
    <t>Validação rejeita o payload apontando os campos obrigatórios ausentes ou a ordenação inválida.</t>
  </si>
  <si>
    <t>CT-086</t>
  </si>
  <si>
    <t>Normalizador de agendamento</t>
  </si>
  <si>
    <t>Normalizador aceita data/hora e recorrência sem inventar opções não previstas</t>
  </si>
  <si>
    <t>Payload de agendamento único e recorrente.</t>
  </si>
  <si>
    <t xml:space="preserve">1. Submeter agendamento por data/hora específica.
2. Submeter agendamento recorrente.
3. Submeter valor de recorrência fora do domínio suportado.</t>
  </si>
  <si>
    <t>Combinações válidas e uma inválida de agendamento.</t>
  </si>
  <si>
    <t>Casos válidos são normalizados corretamente; caso fora do domínio é rejeitado (o normalizador não cria opções não documentadas pela norma).</t>
  </si>
  <si>
    <t>CT-087</t>
  </si>
  <si>
    <t>Validador de Application</t>
  </si>
  <si>
    <t>Sugestão de nomenclatura de Application usa somente regra publicada no catálogo</t>
  </si>
  <si>
    <t>Regra de nomenclatura de Application publicada no catálogo oficial.</t>
  </si>
  <si>
    <t>1. Solicitar sugestão/validação de nome de Application.</t>
  </si>
  <si>
    <t>Nome de Application e contexto do job.</t>
  </si>
  <si>
    <t>A sugestão/validação referencia exclusivamente a regra publicada; nenhuma regra não publicada é considerada.</t>
  </si>
  <si>
    <t>CT-088</t>
  </si>
  <si>
    <t>Retrocompatibilidade</t>
  </si>
  <si>
    <t>Schema v1 continua compatível para proposta de um único job</t>
  </si>
  <si>
    <t>Payload no formato legado (v1) de job único.</t>
  </si>
  <si>
    <t>1. Submeter payload legado de checklist de um único job.</t>
  </si>
  <si>
    <t>Payload no formato v1.</t>
  </si>
  <si>
    <t>O sistema aceita e processa corretamente o payload legado sem exigir campos exclusivos do v2.</t>
  </si>
  <si>
    <t>CT-089</t>
  </si>
  <si>
    <t>Dados CAPADOR</t>
  </si>
  <si>
    <t>Dados documentais CAPADOR são aceitos e persistidos na Application</t>
  </si>
  <si>
    <t>Payload de Application incluindo seção CAPADOR.</t>
  </si>
  <si>
    <t>1. Submeter payload com dados documentais CAPADOR preenchidos.</t>
  </si>
  <si>
    <t>Campos CAPADOR (documentação/parâmetros).</t>
  </si>
  <si>
    <t>Checklist é criado preservando os dados CAPADOR para uso posterior no PDF.</t>
  </si>
  <si>
    <t>CT-090</t>
  </si>
  <si>
    <t>Catálogo de Checklist</t>
  </si>
  <si>
    <t>ADMIN lista o catálogo completo (itens e status de publicação)</t>
  </si>
  <si>
    <t>Catálogo com itens publicados e não publicados.</t>
  </si>
  <si>
    <t>1. Chamar GET /api/checklist-catalog/admin como ADMIN.</t>
  </si>
  <si>
    <t>HTTP 200; lista completa, incluindo itens ainda não publicados.</t>
  </si>
  <si>
    <t>CT-091</t>
  </si>
  <si>
    <t>GET /api/checklist-catalog</t>
  </si>
  <si>
    <t>Listagem pública retorna apenas itens publicados (GENERIC/BRIDGE)</t>
  </si>
  <si>
    <t>Itens GENERIC/BRIDGE publicados existentes.</t>
  </si>
  <si>
    <t>1. Chamar GET /api/checklist-catalog autenticado.</t>
  </si>
  <si>
    <t>HTTP 200; retorna somente itens publicados do catálogo oficial.</t>
  </si>
  <si>
    <t>Importações/listagens positivas ainda dependem da suíte integrada — ver GAP-024.</t>
  </si>
  <si>
    <t>CT-092</t>
  </si>
  <si>
    <t>GET /api/checklist-catalog?kind=</t>
  </si>
  <si>
    <t>Filtro "kind" inválido é rejeitado antes de consultar o banco</t>
  </si>
  <si>
    <t>1. Chamar GET /api/checklist-catalog?kind=VALOR_INVALIDO.</t>
  </si>
  <si>
    <t>kind = valor fora do domínio (não GENERIC/BRIDGE).</t>
  </si>
  <si>
    <t>HTTP 400 retornado antes de qualquer consulta ao banco (validação fail-fast).</t>
  </si>
  <si>
    <t>CT-093</t>
  </si>
  <si>
    <t>POST /api/checklist-catalog/import</t>
  </si>
  <si>
    <t>Importação exige ao menos um item no payload</t>
  </si>
  <si>
    <t>1. Chamar POST /import com lista de itens vazia.</t>
  </si>
  <si>
    <t>{ items: [] }.</t>
  </si>
  <si>
    <t>HTTP 400; nenhuma alteração é persistida no catálogo.</t>
  </si>
  <si>
    <t>CT-094</t>
  </si>
  <si>
    <t>ADMIN publica itens GENERIC e BRIDGE com sucesso</t>
  </si>
  <si>
    <t>Fonte oficial DIOT com itens GENERIC/BRIDGE definidos.</t>
  </si>
  <si>
    <t>1. Chamar POST /import com lista válida de itens GENERIC e BRIDGE.</t>
  </si>
  <si>
    <t>Lista de itens conforme fonte oficial DIOT.</t>
  </si>
  <si>
    <t>HTTP 200/201; itens publicados e disponíveis na listagem pública do catálogo.</t>
  </si>
  <si>
    <t>CT-095</t>
  </si>
  <si>
    <t>GET /api/checklist-catalog/application-rules</t>
  </si>
  <si>
    <t>Listagem de regras de nomenclatura de Application publicadas</t>
  </si>
  <si>
    <t>Regras de Application publicadas.</t>
  </si>
  <si>
    <t>1. Chamar GET /application-rules autenticado.</t>
  </si>
  <si>
    <t>HTTP 200; retorna regras vigentes de nomenclatura por Application.</t>
  </si>
  <si>
    <t>CT-096</t>
  </si>
  <si>
    <t>POST /api/checklist-catalog/application-rules/import</t>
  </si>
  <si>
    <t>Importação rejeita regex inválida e código duplicado</t>
  </si>
  <si>
    <t>ADMIN autenticado; regra com código já existente no catálogo.</t>
  </si>
  <si>
    <t xml:space="preserve">1. Enviar regra com expressão regular sintaticamente inválida.
2. Enviar regra com código de Application já cadastrado.</t>
  </si>
  <si>
    <t>Regra com regex quebrada; regra com código duplicado.</t>
  </si>
  <si>
    <t>Ambos os casos retornam HTTP 400/409 com mensagem específica; nenhuma regra inválida/duplicada é persistida.</t>
  </si>
  <si>
    <t>CT-097</t>
  </si>
  <si>
    <t>Regra de bloqueio de catálogo vazio</t>
  </si>
  <si>
    <t>Seleção fora do catálogo é registrada com aviso enquanto o catálogo está vazio</t>
  </si>
  <si>
    <t>Catálogo oficial ainda sem itens publicados.</t>
  </si>
  <si>
    <t>1. Criar checklist de Application referenciando genérico/ponte não publicados.</t>
  </si>
  <si>
    <t>Payload referenciando item fora do catálogo (catálogo vazio).</t>
  </si>
  <si>
    <t>Checklist é criado com aviso de "conferência pendente"; nenhuma opção é bloqueada.</t>
  </si>
  <si>
    <t>CT-098</t>
  </si>
  <si>
    <t>Regra de bloqueio pós-publicação</t>
  </si>
  <si>
    <t>Após publicação do catálogo, opções fora do catálogo passam a ser bloqueadas</t>
  </si>
  <si>
    <t>Catálogo oficial publicado com itens definidos.</t>
  </si>
  <si>
    <t>1. Criar checklist de Application referenciando genérico/ponte não presente no catálogo publicado.</t>
  </si>
  <si>
    <t>Payload referenciando item inexistente no catálogo publicado.</t>
  </si>
  <si>
    <t>Requisição é rejeitada (4xx) apontando que a opção não consta no catálogo oficial.</t>
  </si>
  <si>
    <t>CT-099</t>
  </si>
  <si>
    <t>LIA (Assistente de IA)</t>
  </si>
  <si>
    <t>POST /api/ai/chat</t>
  </si>
  <si>
    <t>Envio de mensagem e recebimento de resposta da LIA</t>
  </si>
  <si>
    <t>Conversa existente ou nova; gateway de IA disponível.</t>
  </si>
  <si>
    <t>1. Chamar POST /api/ai/chat com uma mensagem de usuário.</t>
  </si>
  <si>
    <t>{ conversationId?, message }.</t>
  </si>
  <si>
    <t>HTTP 200; resposta da LIA retornada e mensagem persistida na conversa.</t>
  </si>
  <si>
    <t>server/tests/chat_persistence.test.ts</t>
  </si>
  <si>
    <t>Cobertura de código real do arquivo (ai.ts) é Parcial (21,71% linhas); sanitização de prompt e timeout do provedor sem teste direto — ver GAP-012.</t>
  </si>
  <si>
    <t>CT-100</t>
  </si>
  <si>
    <t>GET /api/ai/models</t>
  </si>
  <si>
    <t>Listagem de modelos de IA disponíveis</t>
  </si>
  <si>
    <t>1. Chamar GET /api/ai/models.</t>
  </si>
  <si>
    <t>HTTP 200; lista de modelos suportados (ex.: Claude Sonnet) é retornada.</t>
  </si>
  <si>
    <t>CT-101</t>
  </si>
  <si>
    <t>POST /api/ai/preferences</t>
  </si>
  <si>
    <t>Usuário salva preferência de modelo de IA</t>
  </si>
  <si>
    <t>Modelo válido disponível na listagem.</t>
  </si>
  <si>
    <t>1. Chamar POST /api/ai/preferences com o modelo escolhido.</t>
  </si>
  <si>
    <t>{ selectedModel }.</t>
  </si>
  <si>
    <t>HTTP 200; preferência persistida e usada em interações futuras.</t>
  </si>
  <si>
    <t>CT-102</t>
  </si>
  <si>
    <t>POST /api/ai/conversations</t>
  </si>
  <si>
    <t>Criação de nova conversa</t>
  </si>
  <si>
    <t>1. Chamar POST /api/ai/conversations.</t>
  </si>
  <si>
    <t>HTTP 201; nova conversa criada e vinculada ao usuário autenticado.</t>
  </si>
  <si>
    <t>CT-103</t>
  </si>
  <si>
    <t>GET /api/ai/conversations</t>
  </si>
  <si>
    <t>Listagem das conversas do usuário autenticado</t>
  </si>
  <si>
    <t>Existem conversas de múltiplos usuários.</t>
  </si>
  <si>
    <t>1. Chamar GET /api/ai/conversations autenticado.</t>
  </si>
  <si>
    <t>HTTP 200; retorna apenas as conversas pertencentes ao usuário autenticado.</t>
  </si>
  <si>
    <t>CT-104</t>
  </si>
  <si>
    <t>Usuário não visualiza conversas de outros usuários</t>
  </si>
  <si>
    <t>Conversa pertencente a outro usuário.</t>
  </si>
  <si>
    <t xml:space="preserve">1. Autenticar como usuário A.
2. Chamar GET /api/ai/conversations e conferir ausência de conversas do usuário B.</t>
  </si>
  <si>
    <t>A lista retornada não contém nenhuma conversa de outro usuário.</t>
  </si>
  <si>
    <t>Isolamento entre usuários sem teste isolado direto (mock de pool) — ver GAP-013.</t>
  </si>
  <si>
    <t>CT-105</t>
  </si>
  <si>
    <t>Mensagem enviada é persistida corretamente na conversa correspondente</t>
  </si>
  <si>
    <t>Conversa existente.</t>
  </si>
  <si>
    <t xml:space="preserve">1. Enviar mensagem via /chat informando conversationId.
2. Consultar as mensagens da conversa.</t>
  </si>
  <si>
    <t>{ conversationId, message }.</t>
  </si>
  <si>
    <t>A mensagem enviada e a resposta da LIA aparecem persistidas na conversa correta, na ordem correta.</t>
  </si>
  <si>
    <t>CT-106</t>
  </si>
  <si>
    <t>GET /api/ai/conversations/:id/messages</t>
  </si>
  <si>
    <t>Recuperação de mensagens da conversa pelo ID correto</t>
  </si>
  <si>
    <t>Conversa com histórico de mensagens.</t>
  </si>
  <si>
    <t>1. Chamar GET /api/ai/conversations/:id/messages com ID da própria conversa.</t>
  </si>
  <si>
    <t>ID de conversa própria.</t>
  </si>
  <si>
    <t>HTTP 200; retorna o histórico completo e ordenado de mensagens.</t>
  </si>
  <si>
    <t>CT-107</t>
  </si>
  <si>
    <t>Usuário não acessa mensagens de conversa de outro usuário</t>
  </si>
  <si>
    <t xml:space="preserve">1. Autenticar como usuário A.
2. Chamar GET /api/ai/conversations/:id/messages usando o ID de conversa do usuário B.</t>
  </si>
  <si>
    <t>ID de conversa de outro usuário.</t>
  </si>
  <si>
    <t>HTTP 403/404; nenhuma mensagem de terceiros é retornada.</t>
  </si>
  <si>
    <t>CT-108</t>
  </si>
  <si>
    <t>Contexto retornado reflete normas e dicionário publicados no momento</t>
  </si>
  <si>
    <t>Normas/termos publicados atualizados.</t>
  </si>
  <si>
    <t>1. Chamar GET /api/ai/context.</t>
  </si>
  <si>
    <t>HTTP 200; conteúdo do contexto corresponde exatamente às versões publicadas mais recentes.</t>
  </si>
  <si>
    <t>CT-109</t>
  </si>
  <si>
    <t>Prompts do Sistema</t>
  </si>
  <si>
    <t>GET /api/system-prompts/active</t>
  </si>
  <si>
    <t>Retorna o prompt do sistema ativo atual</t>
  </si>
  <si>
    <t>Existe um prompt marcado como ativo.</t>
  </si>
  <si>
    <t>1. Chamar GET /api/system-prompts/active.</t>
  </si>
  <si>
    <t>HTTP 200; retorna o conteúdo do prompt atualmente ativo.</t>
  </si>
  <si>
    <t>server/tests/system_prompts.test.ts</t>
  </si>
  <si>
    <t>CT-110</t>
  </si>
  <si>
    <t>POST /api/system-prompts</t>
  </si>
  <si>
    <t>SOLICITANTE não pode atualizar o prompt do sistema</t>
  </si>
  <si>
    <t>1. Chamar POST /api/system-prompts com novo conteúdo de prompt.</t>
  </si>
  <si>
    <t>Payload de novo prompt.</t>
  </si>
  <si>
    <t>HTTP 403 Forbidden; prompt ativo permanece inalterado.</t>
  </si>
  <si>
    <t>CT-111</t>
  </si>
  <si>
    <t>ADMIN salva novo prompt e o torna ativo</t>
  </si>
  <si>
    <t xml:space="preserve">1. Chamar POST /api/system-prompts com novo conteúdo.
2. Consultar GET /active.</t>
  </si>
  <si>
    <t>HTTP 201; o novo prompt passa a ser retornado por GET /active.</t>
  </si>
  <si>
    <t>CT-112</t>
  </si>
  <si>
    <t>Interações, Feedback e Auditoria</t>
  </si>
  <si>
    <t>GET /api/interactions/aggregations</t>
  </si>
  <si>
    <t>ADMIN e OPERADOR acessam agregações de auditoria</t>
  </si>
  <si>
    <t>Interações registradas no banco de testes.</t>
  </si>
  <si>
    <t xml:space="preserve">1. Chamar GET /aggregations autenticado como ADMIN.
2. Repetir como OPERADOR.</t>
  </si>
  <si>
    <t>HTTP 200 para ambos os papéis, com dados agregados de uso/interação.</t>
  </si>
  <si>
    <t>server/tests/interaction.test.ts</t>
  </si>
  <si>
    <t>CT-113</t>
  </si>
  <si>
    <t>SOLICITANTE é impedido de acessar agregações de auditoria</t>
  </si>
  <si>
    <t>1. Chamar GET /aggregations autenticado como SOLICITANTE.</t>
  </si>
  <si>
    <t>CT-114</t>
  </si>
  <si>
    <t>POST /api/interactions/feedback</t>
  </si>
  <si>
    <t>Proprietário da interação registra feedback com sucesso</t>
  </si>
  <si>
    <t>Interação/checklist pertencente ao próprio usuário SOLICITANTE.</t>
  </si>
  <si>
    <t>1. Chamar POST /feedback referenciando interação própria.</t>
  </si>
  <si>
    <t>{ interactionId próprio, rating, comment }.</t>
  </si>
  <si>
    <t>HTTP 201; feedback registrado e vinculado à interação correta.</t>
  </si>
  <si>
    <t>CT-115</t>
  </si>
  <si>
    <t>Usuário não proprietário é bloqueado ao registrar feedback de interação alheia</t>
  </si>
  <si>
    <t>Interação pertencente a outro usuário.</t>
  </si>
  <si>
    <t xml:space="preserve">1. Autenticar como usuário A.
2. Chamar POST /feedback referenciando interação do usuário B.</t>
  </si>
  <si>
    <t>{ interactionId de outro usuário }.</t>
  </si>
  <si>
    <t>HTTP 403; feedback não é registrado.</t>
  </si>
  <si>
    <t>CT-116</t>
  </si>
  <si>
    <t>JobsIA_audit_logs</t>
  </si>
  <si>
    <t>Ações administrativas sensíveis geram registro imutável de auditoria</t>
  </si>
  <si>
    <t xml:space="preserve">1. Executar ação sensível (ex.: alterar aplicabilidade de norma ou publicar catálogo).
2. Consultar JobsIA_audit_logs.</t>
  </si>
  <si>
    <t>Ação administrativa qualquer sujeita a auditoria.</t>
  </si>
  <si>
    <t>Registro de auditoria criado com IP de origem, usuário responsável e payload da ação, sem possibilidade de edição posterior.</t>
  </si>
  <si>
    <t>CT-117</t>
  </si>
  <si>
    <t>Jobs (tipos e parâmetros)</t>
  </si>
  <si>
    <t>GET /api/jobs</t>
  </si>
  <si>
    <t>Listagem de jobs e seus parâmetros</t>
  </si>
  <si>
    <t>Jobs cadastrados com parâmetros.</t>
  </si>
  <si>
    <t>1. Chamar GET /api/jobs.</t>
  </si>
  <si>
    <t>HTTP 200; retorna jobs com respectivos parâmetros estruturados.</t>
  </si>
  <si>
    <t>server/tests/jobs.test.ts</t>
  </si>
  <si>
    <t>CT-118</t>
  </si>
  <si>
    <t>POST /api/jobs</t>
  </si>
  <si>
    <t>Criação de job é impedida para SOLICITANTE (RBAC)</t>
  </si>
  <si>
    <t>1. Chamar POST /api/jobs com payload válido.</t>
  </si>
  <si>
    <t>Payload de job válido.</t>
  </si>
  <si>
    <t>CT-119</t>
  </si>
  <si>
    <t>ADMIN cria job e parâmetros com sucesso</t>
  </si>
  <si>
    <t>1. Chamar POST /api/jobs com tipo de job e lista de parâmetros.</t>
  </si>
  <si>
    <t>Payload de job + parâmetros.</t>
  </si>
  <si>
    <t>HTTP 201; job e parâmetros criados corretamente e vinculados.</t>
  </si>
  <si>
    <t>CT-120</t>
  </si>
  <si>
    <t>PUT /api/jobs/:id</t>
  </si>
  <si>
    <t>ADMIN atualiza job e seus parâmetros</t>
  </si>
  <si>
    <t>Job existente.</t>
  </si>
  <si>
    <t>1. Chamar PUT /api/jobs/:id alterando parâmetros.</t>
  </si>
  <si>
    <t>Payload de atualização de job/parâmetros.</t>
  </si>
  <si>
    <t>HTTP 200; alterações refletidas corretamente na listagem.</t>
  </si>
  <si>
    <t>CT-121</t>
  </si>
  <si>
    <t>Atualização de job inexistente retorna 404</t>
  </si>
  <si>
    <t>ID de job inexistente.</t>
  </si>
  <si>
    <t>1. Chamar PUT /api/jobs/999999 com payload válido.</t>
  </si>
  <si>
    <t>HTTP 404 Not Found.</t>
  </si>
  <si>
    <t>CT-122</t>
  </si>
  <si>
    <t>POST /api/jobs/seed</t>
  </si>
  <si>
    <t>Seed de jobs padrão como ADMIN</t>
  </si>
  <si>
    <t>Banco de testes vazio ou parcial.</t>
  </si>
  <si>
    <t>1. Chamar POST /api/jobs/seed como ADMIN.</t>
  </si>
  <si>
    <t>HTTP 200/201; jobs padrão inseridos de forma idempotente.</t>
  </si>
  <si>
    <t>CT-123</t>
  </si>
  <si>
    <t>DELETE /api/jobs/:id</t>
  </si>
  <si>
    <t>ADMIN remove job e parâmetros associados</t>
  </si>
  <si>
    <t>Job existente sem dependências bloqueantes.</t>
  </si>
  <si>
    <t>1. Chamar DELETE /api/jobs/:id como ADMIN.</t>
  </si>
  <si>
    <t>ID de job existente.</t>
  </si>
  <si>
    <t>HTTP 200/204; job e seus parâmetros são removidos.</t>
  </si>
  <si>
    <t>CT-124</t>
  </si>
  <si>
    <t>Geração de PDF</t>
  </si>
  <si>
    <t>pdfService</t>
  </si>
  <si>
    <t>Geração direta de PDF em Buffer sem erros</t>
  </si>
  <si>
    <t>Checklist válido em memória.</t>
  </si>
  <si>
    <t>1. Chamar o serviço de geração de PDF diretamente com um checklist válido.</t>
  </si>
  <si>
    <t>Objeto de checklist estruturado.</t>
  </si>
  <si>
    <t>Buffer de PDF válido é retornado sem exceções.</t>
  </si>
  <si>
    <t>CT-125</t>
  </si>
  <si>
    <t>Metadados de versão do documento estão presentes no PDF</t>
  </si>
  <si>
    <t>Checklist com número de versão.</t>
  </si>
  <si>
    <t>1. Gerar PDF e inspecionar metadados do documento.</t>
  </si>
  <si>
    <t>Checklist versionado.</t>
  </si>
  <si>
    <t>PDF gerado contém metadados de versão consistentes com o checklist de origem.</t>
  </si>
  <si>
    <t>CT-126</t>
  </si>
  <si>
    <t>Conteúdo extenso de validação gera páginas extras corretamente</t>
  </si>
  <si>
    <t>Checklist com relatório de validação com muitos apontamentos.</t>
  </si>
  <si>
    <t>1. Gerar PDF de checklist com relatório de validação extenso (overflow de conteúdo).</t>
  </si>
  <si>
    <t>Checklist com dezenas de apontamentos de validação.</t>
  </si>
  <si>
    <t>PDF gerado cria páginas adicionais automaticamente, sem corte ou sobreposição de conteúdo.</t>
  </si>
  <si>
    <t>CT-127</t>
  </si>
  <si>
    <t>Parâmetros CAPADOR são renderizados corretamente no PDF</t>
  </si>
  <si>
    <t>Checklist com dados CAPADOR preenchidos.</t>
  </si>
  <si>
    <t>1. Gerar PDF de checklist com seção CAPADOR preenchida.</t>
  </si>
  <si>
    <t>Checklist com dados CAPADOR.</t>
  </si>
  <si>
    <t>Seção CAPADOR aparece corretamente formatada no PDF gerado.</t>
  </si>
  <si>
    <t>CT-128</t>
  </si>
  <si>
    <t>Logo institucional é incorporado, com fallback seguro quando indisponível</t>
  </si>
  <si>
    <t>Arquivo de logo disponível e cenário sem o arquivo.</t>
  </si>
  <si>
    <t xml:space="preserve">1. Gerar PDF com logo disponível.
2. Gerar PDF simulando ausência/erro no arquivo de logo.</t>
  </si>
  <si>
    <t>Checklist válido, com e sem logo acessível.</t>
  </si>
  <si>
    <t>Com logo disponível, ele aparece no PDF; sem logo, a geração não falha e usa um fallback seguro.</t>
  </si>
  <si>
    <t>server/tests/pdf-renderer.test.ts</t>
  </si>
  <si>
    <t>CT-129</t>
  </si>
  <si>
    <t>Avisos de catálogo não publicado são omitidos, mantendo avisos operacionais</t>
  </si>
  <si>
    <t>Checklist com aviso de catálogo não publicado e também aviso operacional.</t>
  </si>
  <si>
    <t>1. Gerar PDF de checklist com ambos os tipos de aviso presentes internamente.</t>
  </si>
  <si>
    <t>Checklist com avisos mistos (catálogo + operacional).</t>
  </si>
  <si>
    <t>PDF final omite o aviso de catálogo não publicado, mas mantém os avisos operacionais relevantes.</t>
  </si>
  <si>
    <t>CT-130</t>
  </si>
  <si>
    <t>PDF suporta checklist estruturado de Application com múltiplos jobs</t>
  </si>
  <si>
    <t>Checklist de Application v2 com múltiplos jobs.</t>
  </si>
  <si>
    <t>1. Gerar PDF de um checklist de Application com vários jobs ordenados.</t>
  </si>
  <si>
    <t>Checklist de Application com múltiplos jobs.</t>
  </si>
  <si>
    <t>PDF exibe corretamente todos os jobs, na ordem correta, com seus respectivos parâmetros.</t>
  </si>
  <si>
    <t>CT-131</t>
  </si>
  <si>
    <t>PDF mantém suporte ao payload legado de job único (schema v1)</t>
  </si>
  <si>
    <t>Checklist no formato legado v1.</t>
  </si>
  <si>
    <t>1. Gerar PDF de um checklist no formato legado de job único.</t>
  </si>
  <si>
    <t>Checklist no formato v1.</t>
  </si>
  <si>
    <t>PDF é gerado corretamente mesmo com o formato legado, sem exigir campos exclusivos do v2.</t>
  </si>
  <si>
    <t>CT-132</t>
  </si>
  <si>
    <t>Migrações e Segurança de Schema</t>
  </si>
  <si>
    <t>migrationSafety</t>
  </si>
  <si>
    <t>Toda migration numerada executa dentro da transação do runner preservando public.users</t>
  </si>
  <si>
    <t>Banco de testes limpo; arquivos de migração 0001 a 0022 presentes.</t>
  </si>
  <si>
    <t>1. Executar o runner de migração sobre todas as migrations numeradas em sequência.</t>
  </si>
  <si>
    <t>Conjunto completo de migrations em /migrations.</t>
  </si>
  <si>
    <t>Todas as migrations aplicam com sucesso dentro de transação; a tabela public.users nunca é removida/recriada e sua contagem de linhas é preservada.</t>
  </si>
  <si>
    <t>server/tests/migrationSafety.test.ts</t>
  </si>
  <si>
    <t>CT-133</t>
  </si>
  <si>
    <t>Runner bloqueia operações destrutivas direcionadas a public.users</t>
  </si>
  <si>
    <t>Arquivo de migração de teste contendo DROP/TRUNCATE em public.users.</t>
  </si>
  <si>
    <t>1. Executar o runner com uma migration que tente remover/truncar a tabela users.</t>
  </si>
  <si>
    <t>Migration de teste destrutiva.</t>
  </si>
  <si>
    <t>O runner interrompe a execução e rejeita a migration antes de aplicá-la.</t>
  </si>
  <si>
    <t>CT-134</t>
  </si>
  <si>
    <t>Runner rejeita comandos alternativos de encerramento de transação</t>
  </si>
  <si>
    <t>Migration de teste usando END/COMMIT alternativos para escapar da transação.</t>
  </si>
  <si>
    <t>1. Executar o runner com migration usando sintaxe alternativa de encerramento de transação.</t>
  </si>
  <si>
    <t>Migration com comando alternativo (ex.: END no EOF).</t>
  </si>
  <si>
    <t>O runner detecta e rejeita a tentativa de encerramento indevido da transação.</t>
  </si>
  <si>
    <t>CT-135</t>
  </si>
  <si>
    <t>Parser reconhece corretamente E-strings, dollar-quotes e identificadores Unicode</t>
  </si>
  <si>
    <t>Migrations com strings escapadas, dollar-quoting e identificadores Unicode.</t>
  </si>
  <si>
    <t>1. Executar o runner sobre migrations contendo esses padrões sintáticos específicos do PostgreSQL.</t>
  </si>
  <si>
    <t>Trechos SQL com E-strings, $$ e identificadores Unicode.</t>
  </si>
  <si>
    <t>O parser interpreta corretamente esses padrões sem falso positivo de operação destrutiva nem falha de parsing.</t>
  </si>
  <si>
    <t>CT-136</t>
  </si>
  <si>
    <t>Comentários e migrations históricas não destrutivas não são sinalizados como risco</t>
  </si>
  <si>
    <t>Migrations históricas contendo comentários e menções textuais a "DROP"/"users" em comentários.</t>
  </si>
  <si>
    <t>1. Executar o runner sobre migrations com comentários mencionando termos sensíveis.</t>
  </si>
  <si>
    <t>Migrations com comentários SQL.</t>
  </si>
  <si>
    <t>Nenhum falso positivo é levantado; migrations são aplicadas normalmente.</t>
  </si>
  <si>
    <t>CT-137</t>
  </si>
  <si>
    <t>test:schema</t>
  </si>
  <si>
    <t>Suíte destrutiva de schema só executa em banco com marcador de teste no nome</t>
  </si>
  <si>
    <t>DATABASE_URL_TEST apontando para banco sem marcador de teste no nome.</t>
  </si>
  <si>
    <t>1. Executar "npm run test:schema" com DATABASE_URL_TEST apontando para um banco sem "test" no nome, sem a flag de confirmação.</t>
  </si>
  <si>
    <t>DATABASE_URL_TEST inválida + ausência de JOBSIA_ALLOW_DESTRUCTIVE_SCHEMA_TEST.</t>
  </si>
  <si>
    <t>Execução é abortada com erro explícito, sem tocar no banco informado; nunca cai de volta para a DATABASE_URL de produção.</t>
  </si>
  <si>
    <t>Manual (ver README seção "Inicializar o Banco de Dados").</t>
  </si>
  <si>
    <t>CT-138</t>
  </si>
  <si>
    <t>Ordem de criação de tabelas</t>
  </si>
  <si>
    <t>Ordem crítica de tabelas e constraints é respeitada na inicialização completa</t>
  </si>
  <si>
    <t>Banco vazio.</t>
  </si>
  <si>
    <t xml:space="preserve">1. Aplicar baseline_schema.sql (ou migrations incrementais 0001-0022) em banco vazio.
2. Verificar existência e FKs de todas as tabelas na ordem documentada.</t>
  </si>
  <si>
    <t>baseline_schema.sql ou sequência completa de migrations.</t>
  </si>
  <si>
    <t>Todas as tabelas (users, profiles, types/parameters, conversations/messages, checklists, norm_rules/dictionary_terms, audit_logs/refresh_tokens, catalog/rules) são criadas com as FKs corretas, sem erro de dependência.</t>
  </si>
  <si>
    <t>server/tests/schema.test.ts</t>
  </si>
  <si>
    <t>CT-139</t>
  </si>
  <si>
    <t>migrate.ts</t>
  </si>
  <si>
    <t>Runner de migrations trata ordenação, rollback e lock de execução</t>
  </si>
  <si>
    <t>Unitário</t>
  </si>
  <si>
    <t>Cliente PostgreSQL e arquivos de migração mockados.</t>
  </si>
  <si>
    <t xml:space="preserve">1. Simular execução com sucesso.
2. Simular falha no meio de uma migration e verificar rollback.</t>
  </si>
  <si>
    <t>Mocks de cliente PG e lista de arquivos de migração.</t>
  </si>
  <si>
    <t>Migrations aplicadas em ordem numérica; falha no meio reverte a transação e não ameaça a tabela users.</t>
  </si>
  <si>
    <t>Não automatizado (server/migrate.ts sem teste unitário isolado)</t>
  </si>
  <si>
    <t>GAP-018 (P1): sem teste unitário isolado do runner de migrations.</t>
  </si>
  <si>
    <t>CT-140</t>
  </si>
  <si>
    <t>Interface (Frontend)</t>
  </si>
  <si>
    <t>LoginPage</t>
  </si>
  <si>
    <t>Login pela interface autentica e redireciona conforme o papel do usuário</t>
  </si>
  <si>
    <t>Usuário ativo cadastrado; frontend em execução (npm run dev).</t>
  </si>
  <si>
    <t xml:space="preserve">1. Acessar /login.
2. Informar credenciais válidas e submeter o formulário.</t>
  </si>
  <si>
    <t>E-mail e senha válidos.</t>
  </si>
  <si>
    <t>Usuário é autenticado e redirecionado para a tela inicial correspondente ao seu papel; token armazenado no cliente.</t>
  </si>
  <si>
    <t>src/pages/LoginPage.tsx está com 0% de cobertura — ver GAP-033.</t>
  </si>
  <si>
    <t>CT-141</t>
  </si>
  <si>
    <t>SignupPage</t>
  </si>
  <si>
    <t>Cadastro pela interface cria conta com papel padrão SOLICITANTE</t>
  </si>
  <si>
    <t>Frontend em execução; e-mail ainda não cadastrado.</t>
  </si>
  <si>
    <t xml:space="preserve">1. Acessar /signup.
2. Preencher nome, e-mail e senha e submeter.</t>
  </si>
  <si>
    <t>Dados válidos de novo usuário.</t>
  </si>
  <si>
    <t>Conta criada com sucesso; usuário consegue logar em seguida com papel SOLICITANTE.</t>
  </si>
  <si>
    <t>src/pages/SignupPage.tsx está com 0% de cobertura — ver GAP-034.</t>
  </si>
  <si>
    <t>CT-142</t>
  </si>
  <si>
    <t>ProtectedRoute</t>
  </si>
  <si>
    <t>Usuário não autenticado é redirecionado para /login ao acessar rota protegida</t>
  </si>
  <si>
    <t>Nenhuma sessão ativa no navegador.</t>
  </si>
  <si>
    <t>1. Acessar diretamente uma URL protegida (ex.: /agente) sem estar autenticado.</t>
  </si>
  <si>
    <t>Aplicação redireciona automaticamente para a tela de login.</t>
  </si>
  <si>
    <t>src/components/ProtectedRoute.tsx está com 0% de cobertura (P0) — ver GAP-016.</t>
  </si>
  <si>
    <t>CT-143</t>
  </si>
  <si>
    <t>Usuário autenticado sem papel suficiente é bloqueado em rota restrita</t>
  </si>
  <si>
    <t>1. Autenticado como SOLICITANTE, tentar acessar rota restrita a ADMIN (ex.: administração de usuários).</t>
  </si>
  <si>
    <t>Acesso é bloqueado/redirecionado; nenhum dado restrito é exibido na tela.</t>
  </si>
  <si>
    <t>CT-144</t>
  </si>
  <si>
    <t>Layout principal</t>
  </si>
  <si>
    <t>Menu lateral exibe apenas os módulos permitidos ao papel do usuário logado</t>
  </si>
  <si>
    <t>Usuários dos três papéis disponíveis para teste.</t>
  </si>
  <si>
    <t xml:space="preserve">1. Logar sucessivamente como ADMIN, OPERADOR e SOLICITANTE.
2. Conferir os itens visíveis no menu lateral de cada um.</t>
  </si>
  <si>
    <t>Cada papel visualiza somente os módulos/ações a que tem direito (ex.: administração visível apenas para ADMIN).</t>
  </si>
  <si>
    <t>CT-145</t>
  </si>
  <si>
    <t>AgentView</t>
  </si>
  <si>
    <t>Geração de checklist estruturado via chat com a LIA, integrado ao catálogo de Application</t>
  </si>
  <si>
    <t>Catálogo de Application publicado; frontend e backend em execução.</t>
  </si>
  <si>
    <t xml:space="preserve">1. Acessar a tela do Agente (LIA).
2. Conduzir conversa até a geração de um checklist estruturado de Application.
3. Salvar o checklist gerado.</t>
  </si>
  <si>
    <t>Interação de chat conduzindo à criação de checklist.</t>
  </si>
  <si>
    <t>Checklist estruturado é gerado corretamente a partir da conversa e fica disponível no histórico do usuário.</t>
  </si>
  <si>
    <t>src/components/AgentView.tsx (1110 linhas) está com 0% de cobertura — ver GAP-032.</t>
  </si>
  <si>
    <t>CT-146</t>
  </si>
  <si>
    <t>ChecklistCatalogView</t>
  </si>
  <si>
    <t>ADMIN administra itens de catálogo e regras de Application pela interface</t>
  </si>
  <si>
    <t>ADMIN autenticado; frontend em execução.</t>
  </si>
  <si>
    <t xml:space="preserve">1. Acessar a tela de Catálogo de Checklist.
2. Importar/editar itens GENERIC/BRIDGE e regras de Application pela UI.</t>
  </si>
  <si>
    <t>Dados de itens/regras de catálogo.</t>
  </si>
  <si>
    <t>Alterações realizadas na UI refletem corretamente nas chamadas de API e na listagem exibida.</t>
  </si>
  <si>
    <t>src/components/ChecklistCatalogView.tsx está com 0% de cobertura.</t>
  </si>
  <si>
    <t>CT-147</t>
  </si>
  <si>
    <t>KnowledgeViews</t>
  </si>
  <si>
    <t>Gestão de dicionário e normas pela interface, incluindo fluxo aprovar/publicar/reverter</t>
  </si>
  <si>
    <t>ADMIN autenticado; existem termos/normas em diferentes estágios do fluxo.</t>
  </si>
  <si>
    <t xml:space="preserve">1. Acessar a tela de Base de Conhecimento (Dicionário/Normas).
2. Executar o ciclo criar → aprovar → publicar → reverter pela UI.</t>
  </si>
  <si>
    <t>Termo/norma de teste.</t>
  </si>
  <si>
    <t>Cada etapa do fluxo é refletida corretamente na interface e nos dados persistidos no backend.</t>
  </si>
  <si>
    <t>src/components/KnowledgeViews.tsx (1264 linhas) está com 0% de cobertura.</t>
  </si>
  <si>
    <t>CT-148</t>
  </si>
  <si>
    <t>HistoryView</t>
  </si>
  <si>
    <t>Histórico de checklists exibe itens conforme papel do usuário, com filtros funcionando</t>
  </si>
  <si>
    <t>Checklists existentes de múltiplos usuários.</t>
  </si>
  <si>
    <t xml:space="preserve">1. Acessar a tela de Histórico.
2. Aplicar filtros disponíveis (status, usuário quando permitido, período).</t>
  </si>
  <si>
    <t>Filtros de histórico.</t>
  </si>
  <si>
    <t>Lista exibida respeita o RBAC do usuário e os filtros aplicados retornam resultados coerentes.</t>
  </si>
  <si>
    <t>src/components/HistoryView.tsx está com 0% de cobertura — ver GAP-035.</t>
  </si>
  <si>
    <t>CT-149</t>
  </si>
  <si>
    <t>HelpView</t>
  </si>
  <si>
    <t>Conteúdo de ajuda é acessível e legível a partir do menu</t>
  </si>
  <si>
    <t>Frontend em execução.</t>
  </si>
  <si>
    <t>1. Acessar a tela de Ajuda pelo menu.</t>
  </si>
  <si>
    <t>Conteúdo de ajuda é exibido corretamente, sem erros de carregamento.</t>
  </si>
  <si>
    <t>CT-150</t>
  </si>
  <si>
    <t>UsersPage</t>
  </si>
  <si>
    <t>ADMIN administra usuários (listar, criar, editar papel) pela interface</t>
  </si>
  <si>
    <t>ADMIN autenticado; usuários existentes.</t>
  </si>
  <si>
    <t xml:space="preserve">1. Acessar a tela de Usuários.
2. Criar um novo usuário e editar o papel de um usuário existente pela UI.</t>
  </si>
  <si>
    <t>Dados de novo usuário / alteração de papel.</t>
  </si>
  <si>
    <t>Operações refletem corretamente no backend e a listagem é atualizada na tela.</t>
  </si>
  <si>
    <t>src/pages/UsersPage.tsx (483 linhas) está com 0% de cobertura — ver GAP-031.</t>
  </si>
  <si>
    <t>CT-151</t>
  </si>
  <si>
    <t>AuthContext</t>
  </si>
  <si>
    <t>Contexto de autenticação hidrata sessão, expõe login/logout e reage a token inválido</t>
  </si>
  <si>
    <t>Frontend em execução; token válido/expirado disponível para simulação.</t>
  </si>
  <si>
    <t xml:space="preserve">1. Carregar a aplicação com sessão existente no armazenamento local.
2. Executar login, logout e simular token inválido.</t>
  </si>
  <si>
    <t>Sessão previamente armazenada; credenciais válidas.</t>
  </si>
  <si>
    <t>Estados de carregamento/usuário autenticado são coerentes; logout limpa o estado e token inválido força reautenticação.</t>
  </si>
  <si>
    <t>src/contexts/AuthContext.tsx está com 0% de cobertura (P0) — ver GAP-015.</t>
  </si>
  <si>
    <t>CT-152</t>
  </si>
  <si>
    <t>Interceptor de API (src/lib/api.ts)</t>
  </si>
  <si>
    <t>Renovação automática de token em resposta 401 sem duplicar requisições</t>
  </si>
  <si>
    <t>Access token expirado, refresh token ainda válido.</t>
  </si>
  <si>
    <t xml:space="preserve">1. Realizar chamada autenticada que retorna 401 por expiração.
2. Disparar múltiplas requisições concorrentes nesse instante.</t>
  </si>
  <si>
    <t>Requisição autenticada com token expirado; múltiplas chamadas concorrentes.</t>
  </si>
  <si>
    <t>O interceptor solicita um novo token uma única vez, repete as requisições pendentes com o token renovado e evita loop de refresh.</t>
  </si>
  <si>
    <t>src/lib/api.ts está com 0% de cobertura (P0) — ver GAP-014.</t>
  </si>
  <si>
    <t>CT-153</t>
  </si>
  <si>
    <t>Health Check e Infraestrutura</t>
  </si>
  <si>
    <t>GET /api/health</t>
  </si>
  <si>
    <t>Healthcheck do backend responde corretamente</t>
  </si>
  <si>
    <t>Backend em execução.</t>
  </si>
  <si>
    <t>1. Chamar GET http://localhost:3001/api/health.</t>
  </si>
  <si>
    <t>HTTP 200; corpo { "status": "ok" }.</t>
  </si>
  <si>
    <t>CT-154</t>
  </si>
  <si>
    <t>CORS</t>
  </si>
  <si>
    <t>Requisição de origem não autorizada é bloqueada pelo CORS</t>
  </si>
  <si>
    <t>CORS_ORIGIN configurado para uma origem específica.</t>
  </si>
  <si>
    <t>1. Realizar requisição ao backend a partir de uma origem diferente da configurada em CORS_ORIGIN.</t>
  </si>
  <si>
    <t>Origin diferente do valor configurado.</t>
  </si>
  <si>
    <t>Requisição é bloqueada pelo navegador/CORS; erro de CORS é retornado.</t>
  </si>
  <si>
    <t>CT-155</t>
  </si>
  <si>
    <t>JWT_SECRET ausente</t>
  </si>
  <si>
    <t>Backend encerra com erro claro se JWT_SECRET não estiver definido</t>
  </si>
  <si>
    <t>Variável de ambiente JWT_SECRET removida do .env.</t>
  </si>
  <si>
    <t xml:space="preserve">1. Remover JWT_SECRET do ambiente.
2. Iniciar o backend ("npm run server").</t>
  </si>
  <si>
    <t>Ambiente sem JWT_SECRET.</t>
  </si>
  <si>
    <t>Backend encerra a inicialização com mensagem "ERRO CRÍTICO DE INICIALIZAÇÃO: A variável de ambiente JWT_SECRET não está definida".</t>
  </si>
  <si>
    <t>CT-156</t>
  </si>
  <si>
    <t>Falha de conexão com PostgreSQL</t>
  </si>
  <si>
    <t>Erro de conexão com o banco é tratado com mensagem clara</t>
  </si>
  <si>
    <t>DATABASE_URL apontando para um banco inacessível.</t>
  </si>
  <si>
    <t xml:space="preserve">1. Configurar DATABASE_URL inválida/inacessível.
2. Iniciar o backend e/ou realizar uma chamada de API.</t>
  </si>
  <si>
    <t>DATABASE_URL inválida.</t>
  </si>
  <si>
    <t>Backend não inicia (ou a chamada falha) com mensagem de erro clara sobre a falha de conexão, sem stack trace exposto ao cliente.</t>
  </si>
  <si>
    <t>CT-157</t>
  </si>
  <si>
    <t>Deploy seguro em produção</t>
  </si>
  <si>
    <t>Procedimento de deploy não reduz a contagem de registros de public.users</t>
  </si>
  <si>
    <t>Ambiente de homologação simulando produção; dump prévio realizado.</t>
  </si>
  <si>
    <t xml:space="preserve">1. Registrar contagem de usuários antes do deploy.
2. Executar sequência de deploy documentada no README (build, up -d --force-recreate api, depois web).
3. Registrar contagem de usuários após o deploy.</t>
  </si>
  <si>
    <t>Sequência de comandos de deploy do README.</t>
  </si>
  <si>
    <t>A contagem de usuários antes e depois do deploy é idêntica; nenhuma migration numerada tenta alterar/remover registros de public.users.</t>
  </si>
  <si>
    <t>Arquivo</t>
  </si>
  <si>
    <t>Camada</t>
  </si>
  <si>
    <t>Criticidade</t>
  </si>
  <si>
    <t>Teste Direto?</t>
  </si>
  <si>
    <t>Evidência Localizada</t>
  </si>
  <si>
    <t>Linhas</t>
  </si>
  <si>
    <t>Cobertas</t>
  </si>
  <si>
    <t>Cob. Linhas</t>
  </si>
  <si>
    <t>Cob. Branches</t>
  </si>
  <si>
    <t>Cob. Funções</t>
  </si>
  <si>
    <t>Situação</t>
  </si>
  <si>
    <t>Observação / Ação</t>
  </si>
  <si>
    <t>server/app.ts</t>
  </si>
  <si>
    <t>Backend / Infraestrutura</t>
  </si>
  <si>
    <t>P1</t>
  </si>
  <si>
    <t>Indireto</t>
  </si>
  <si>
    <t>Coberto</t>
  </si>
  <si>
    <t>Manter suíte e cobrir branches remanescentes.</t>
  </si>
  <si>
    <t>server/db.ts</t>
  </si>
  <si>
    <t>carregado indiretamente pela aplicação</t>
  </si>
  <si>
    <t>server/index.ts</t>
  </si>
  <si>
    <t>Não</t>
  </si>
  <si>
    <t>Nenhum teste localizado</t>
  </si>
  <si>
    <t>Sem cobertura</t>
  </si>
  <si>
    <t>Criar testes unitários ou de componente dedicados.</t>
  </si>
  <si>
    <t>server/migrate.ts</t>
  </si>
  <si>
    <t>Criar testes unitários ou de componente dedicados. Ver GAP-018.</t>
  </si>
  <si>
    <t>server/migrationSafety.ts</t>
  </si>
  <si>
    <t>Sim</t>
  </si>
  <si>
    <t>Parcial</t>
  </si>
  <si>
    <t>Cobertura insuficiente; ampliar caminhos felizes, erros e autorização.</t>
  </si>
  <si>
    <t>server/middleware/auth.ts</t>
  </si>
  <si>
    <t>Backend / Middleware</t>
  </si>
  <si>
    <t>P0</t>
  </si>
  <si>
    <t>Cobertura insuficiente; ampliar caminhos felizes, erros e autorização. Ver GAP-008/GAP-009.</t>
  </si>
  <si>
    <t>server/routes/ai.ts</t>
  </si>
  <si>
    <t>Backend / Rotas</t>
  </si>
  <si>
    <t>carregado ao importar server/app.ts</t>
  </si>
  <si>
    <t>Cobertura insuficiente; ampliar caminhos felizes, erros e autorização. Ver GAP-012/GAP-013.</t>
  </si>
  <si>
    <t>server/routes/applicationChecklists.ts</t>
  </si>
  <si>
    <t>Cobertura insuficiente; ampliar caminhos felizes, erros e autorização. Ver GAP-025.</t>
  </si>
  <si>
    <t>server/routes/auth.ts</t>
  </si>
  <si>
    <t>Cobertura insuficiente; ampliar caminhos felizes, erros e autorização. Ver GAP-010/GAP-011.</t>
  </si>
  <si>
    <t>server/routes/checklistCatalog.ts</t>
  </si>
  <si>
    <t>Cobertura insuficiente; ampliar caminhos felizes, erros e autorização. Ver GAP-024.</t>
  </si>
  <si>
    <t>server/routes/checklists.ts</t>
  </si>
  <si>
    <t>server/tests/pdf.test.ts (2 casos ignorados sem BD)</t>
  </si>
  <si>
    <t>Cobertura insuficiente; ampliar caminhos felizes, erros e autorização. Ver GAP-001 a GAP-004.</t>
  </si>
  <si>
    <t>server/routes/dictionary.ts</t>
  </si>
  <si>
    <t>Cobertura insuficiente; ampliar caminhos felizes, erros e autorização. Ver GAP-023.</t>
  </si>
  <si>
    <t>server/routes/interactions.ts</t>
  </si>
  <si>
    <t>Cobertura insuficiente; ampliar caminhos felizes, erros e autorização. Ver GAP-020.</t>
  </si>
  <si>
    <t>server/routes/jobs.ts</t>
  </si>
  <si>
    <t>Cobertura insuficiente; ampliar caminhos felizes, erros e autorização. Ver GAP-021.</t>
  </si>
  <si>
    <t>server/routes/norms.ts</t>
  </si>
  <si>
    <t>Cobertura insuficiente; ampliar caminhos felizes, erros e autorização. Ver GAP-022.</t>
  </si>
  <si>
    <t>server/routes/systemPrompts.ts</t>
  </si>
  <si>
    <t>server/routes/users.ts</t>
  </si>
  <si>
    <t>Cobertura insuficiente; ampliar caminhos felizes, erros e autorização. Ver GAP-019.</t>
  </si>
  <si>
    <t>server/routes/validation.ts</t>
  </si>
  <si>
    <t>server/schemas/checklistSchema.ts</t>
  </si>
  <si>
    <t>Backend / Schema</t>
  </si>
  <si>
    <t>server/services/pdfService.ts</t>
  </si>
  <si>
    <t>Backend / Serviços</t>
  </si>
  <si>
    <t>server/tests/pdf-renderer.test.ts; server/tests/pdf.test.ts</t>
  </si>
  <si>
    <t>server/services/validationEngine.ts</t>
  </si>
  <si>
    <t>importado por rotas; lógica principal pouco exercitada</t>
  </si>
  <si>
    <t>Cobertura insuficiente; ampliar caminhos felizes, erros e autorização. Ver GAP-005 a GAP-007.</t>
  </si>
  <si>
    <t>src/App.tsx</t>
  </si>
  <si>
    <t>Frontend / Base</t>
  </si>
  <si>
    <t>src/main.tsx</t>
  </si>
  <si>
    <t>src/vite-env.d.ts</t>
  </si>
  <si>
    <t>N/A</t>
  </si>
  <si>
    <t>Não aplicável</t>
  </si>
  <si>
    <t>Arquivo declarativo; validar por compilação/type-check.</t>
  </si>
  <si>
    <t>src/components/AgentView.tsx</t>
  </si>
  <si>
    <t>Frontend / Componentes</t>
  </si>
  <si>
    <t>Criar testes unitários ou de componente dedicados. Ver GAP-032.</t>
  </si>
  <si>
    <t>src/components/ChecklistCatalogView.tsx</t>
  </si>
  <si>
    <t>P2</t>
  </si>
  <si>
    <t>src/components/HelpView.tsx</t>
  </si>
  <si>
    <t>src/components/HistoryView.tsx</t>
  </si>
  <si>
    <t>Criar testes unitários ou de componente dedicados. Ver GAP-035.</t>
  </si>
  <si>
    <t>src/components/KnowledgeViews.tsx</t>
  </si>
  <si>
    <t>Criar testes unitários ou de componente dedicados. Ver GAP-036.</t>
  </si>
  <si>
    <t>src/components/ProtectedRoute.tsx</t>
  </si>
  <si>
    <t>Criar testes unitários ou de componente dedicados. Ver GAP-016.</t>
  </si>
  <si>
    <t>src/contexts/AuthContext.tsx</t>
  </si>
  <si>
    <t>Frontend / Contexto</t>
  </si>
  <si>
    <t>Criar testes unitários ou de componente dedicados. Ver GAP-015.</t>
  </si>
  <si>
    <t>src/data/knowledgeBase.ts</t>
  </si>
  <si>
    <t>src/lib/api.ts</t>
  </si>
  <si>
    <t>Frontend / Infraestrutura</t>
  </si>
  <si>
    <t>Criar testes unitários ou de componente dedicados. Ver GAP-014.</t>
  </si>
  <si>
    <t>src/pages/LoginPage.tsx</t>
  </si>
  <si>
    <t>Frontend / Páginas</t>
  </si>
  <si>
    <t>Criar testes unitários ou de componente dedicados. Ver GAP-033.</t>
  </si>
  <si>
    <t>src/pages/SignupPage.tsx</t>
  </si>
  <si>
    <t>Criar testes unitários ou de componente dedicados. Ver GAP-034.</t>
  </si>
  <si>
    <t>src/pages/UsersPage.tsx</t>
  </si>
  <si>
    <t>Criar testes unitários ou de componente dedicados. Ver GAP-031.</t>
  </si>
  <si>
    <t>src/services/checklistCatalogService.ts</t>
  </si>
  <si>
    <t>Frontend / Serviços</t>
  </si>
  <si>
    <t>Criar testes unitários ou de componente dedicados. Ver GAP-030.</t>
  </si>
  <si>
    <t>src/services/checklistService.ts</t>
  </si>
  <si>
    <t>Criar testes unitários ou de componente dedicados. Ver GAP-026.</t>
  </si>
  <si>
    <t>src/services/dictionaryService.ts</t>
  </si>
  <si>
    <t>Criar testes unitários ou de componente dedicados. Ver GAP-029.</t>
  </si>
  <si>
    <t>src/services/jobService.ts</t>
  </si>
  <si>
    <t>Criar testes unitários ou de componente dedicados. Ver GAP-027.</t>
  </si>
  <si>
    <t>src/services/normService.ts</t>
  </si>
  <si>
    <t>Criar testes unitários ou de componente dedicados. Ver GAP-028.</t>
  </si>
  <si>
    <t>src/services/systemPromptService.ts</t>
  </si>
  <si>
    <t>src/types/database.ts</t>
  </si>
  <si>
    <t>src/utils/commandBuilder.ts</t>
  </si>
  <si>
    <t>Frontend / Utilitários</t>
  </si>
  <si>
    <t>src/utils/commandBuilder.test.ts</t>
  </si>
  <si>
    <t>src/utils/pdfGenerator.ts</t>
  </si>
  <si>
    <t>Criar testes unitários ou de componente dedicados. Ver GAP-017.</t>
  </si>
  <si>
    <t>src/utils/validationPresentation.ts</t>
  </si>
  <si>
    <t>src/utils/validationPresentation.test.ts</t>
  </si>
  <si>
    <t>Função / Rota</t>
  </si>
  <si>
    <t>Cenário</t>
  </si>
  <si>
    <t>Pré-condições / Mocks</t>
  </si>
  <si>
    <t>Passos / Entrada</t>
  </si>
  <si>
    <t>Tipo Sugerido</t>
  </si>
  <si>
    <t>Arquivo de Teste Sugerido</t>
  </si>
  <si>
    <t>GAP-001</t>
  </si>
  <si>
    <t>isolar dados por papel e impedir filtro de terceiro</t>
  </si>
  <si>
    <t>JWTs de SOLICITANTE e OPERADOR; pool mockado</t>
  </si>
  <si>
    <t>consultar com cada papel e filtro user_id</t>
  </si>
  <si>
    <t>SOLICITANTE vê somente próprios registros; OPERADOR segue política</t>
  </si>
  <si>
    <t>Unitário com supertest</t>
  </si>
  <si>
    <t>server/tests/checklists.unit.test.ts</t>
  </si>
  <si>
    <t>Pendente</t>
  </si>
  <si>
    <t>GAP-002</t>
  </si>
  <si>
    <t>derivar user_id do JWT e ignorar valor do payload</t>
  </si>
  <si>
    <t>usuário autenticado; validação mockada</t>
  </si>
  <si>
    <t>enviar user_id de terceiro no corpo</t>
  </si>
  <si>
    <t>persistência usa somente o usuário autenticado</t>
  </si>
  <si>
    <t>GAP-003</t>
  </si>
  <si>
    <t>tratar validação bloqueante e status final</t>
  </si>
  <si>
    <t>motor mockado com erros bloqueantes</t>
  </si>
  <si>
    <t>criar checklist inválido</t>
  </si>
  <si>
    <t>retorna erro controlado e não confirma transação indevida</t>
  </si>
  <si>
    <t>GAP-004</t>
  </si>
  <si>
    <t>GET /:id/pdf</t>
  </si>
  <si>
    <t>autorizar proprietário e bloquear terceiro</t>
  </si>
  <si>
    <t>BD/pool e pdfService mockados</t>
  </si>
  <si>
    <t>baixar PDF próprio e de terceiro</t>
  </si>
  <si>
    <t>200 para proprietário; 403/404 para terceiro</t>
  </si>
  <si>
    <t>Unitário com mocks</t>
  </si>
  <si>
    <t>GAP-005</t>
  </si>
  <si>
    <t>validateChecklist</t>
  </si>
  <si>
    <t>sem regras publicadas</t>
  </si>
  <si>
    <t>pool retorna catálogo vazio</t>
  </si>
  <si>
    <t>validar payload mínimo</t>
  </si>
  <si>
    <t>resultado previsível sem falso bloqueio; aviso explícito quando aplicável</t>
  </si>
  <si>
    <t>server/tests/validationEngine.unit.test.ts</t>
  </si>
  <si>
    <t>GAP-006</t>
  </si>
  <si>
    <t>regras required, regex e dependência</t>
  </si>
  <si>
    <t>regras mockadas por tipo</t>
  </si>
  <si>
    <t>testar valor válido, ausente e incompatível</t>
  </si>
  <si>
    <t>erros têm código, campo, severidade e mensagem corretos</t>
  </si>
  <si>
    <t>Unitário parametrizado</t>
  </si>
  <si>
    <t>GAP-007</t>
  </si>
  <si>
    <t>validateApplicationChecklist</t>
  </si>
  <si>
    <t>múltiplos jobs e nomes duplicados</t>
  </si>
  <si>
    <t>catálogo e regras mockados</t>
  </si>
  <si>
    <t>validar aplicação com 2+ jobs</t>
  </si>
  <si>
    <t>agrega erros com prefixo por job e preserva ordem</t>
  </si>
  <si>
    <t>GAP-008</t>
  </si>
  <si>
    <t>requireAuth</t>
  </si>
  <si>
    <t>token ausente, malformado, expirado e usuário inativo</t>
  </si>
  <si>
    <t>JWT/pool mockados</t>
  </si>
  <si>
    <t>executar middleware em cada condição</t>
  </si>
  <si>
    <t>401 consistente; next somente para token e usuário válidos</t>
  </si>
  <si>
    <t>server/tests/authMiddleware.unit.test.ts</t>
  </si>
  <si>
    <t>GAP-009</t>
  </si>
  <si>
    <t>requireRole / requireOwnership</t>
  </si>
  <si>
    <t>matriz ADMIN, OPERADOR, SOLICITANTE e recurso alheio</t>
  </si>
  <si>
    <t>requisições mockadas</t>
  </si>
  <si>
    <t>variar papel e proprietário</t>
  </si>
  <si>
    <t>403 para combinações proibidas; next para permitidas</t>
  </si>
  <si>
    <t>GAP-010</t>
  </si>
  <si>
    <t>POST /login</t>
  </si>
  <si>
    <t>credenciais ausentes, senha inválida e usuário inativo</t>
  </si>
  <si>
    <t>bcrypt/JWT/pool mockados</t>
  </si>
  <si>
    <t>executar três falhas e um sucesso</t>
  </si>
  <si>
    <t>401/400 sem revelar qual credencial falhou; tokens no sucesso</t>
  </si>
  <si>
    <t>server/tests/auth.unit.test.ts</t>
  </si>
  <si>
    <t>GAP-011</t>
  </si>
  <si>
    <t>POST /refresh e /logout</t>
  </si>
  <si>
    <t>refresh expirado, revogado, reutilizado e logout</t>
  </si>
  <si>
    <t>tokens/pool mockados</t>
  </si>
  <si>
    <t>executar ciclo e tentativas de reuso</t>
  </si>
  <si>
    <t>rotação/revogação consistente e transação encerrada</t>
  </si>
  <si>
    <t>GAP-012</t>
  </si>
  <si>
    <t>POST /chat</t>
  </si>
  <si>
    <t>sanitizar mensagens e tratar falha/timeout do provedor</t>
  </si>
  <si>
    <t>cliente GenAI e pool mockados</t>
  </si>
  <si>
    <t>enviar payload válido, inválido e falha externa</t>
  </si>
  <si>
    <t>sem prompt injection estrutural; erro controlado; sem persistência parcial</t>
  </si>
  <si>
    <t>server/tests/ai.unit.test.ts</t>
  </si>
  <si>
    <t>GAP-013</t>
  </si>
  <si>
    <t>conversations/messages</t>
  </si>
  <si>
    <t>garantir propriedade da conversa</t>
  </si>
  <si>
    <t>dois usuários e pool mockado</t>
  </si>
  <si>
    <t>listar/ler conversa própria e alheia</t>
  </si>
  <si>
    <t>não vaza conteúdo entre usuários</t>
  </si>
  <si>
    <t>GAP-014</t>
  </si>
  <si>
    <t>request/refresh</t>
  </si>
  <si>
    <t>401 dispara refresh uma vez e repete requisição</t>
  </si>
  <si>
    <t>fetch e localStorage mockados</t>
  </si>
  <si>
    <t>simular sucesso, refresh inválido e requisições concorrentes</t>
  </si>
  <si>
    <t>token atualizado; logout em falha; sem loop de refresh</t>
  </si>
  <si>
    <t>Unitário DOM</t>
  </si>
  <si>
    <t>src/lib/api.test.ts</t>
  </si>
  <si>
    <t>GAP-015</t>
  </si>
  <si>
    <t>AuthProvider</t>
  </si>
  <si>
    <t>hidratar sessão, login, logout e token inválido</t>
  </si>
  <si>
    <t>api e storage mockados</t>
  </si>
  <si>
    <t>renderizar provider e acionar operações</t>
  </si>
  <si>
    <t>estado loading/user e navegação coerentes</t>
  </si>
  <si>
    <t>Teste de componente</t>
  </si>
  <si>
    <t>src/contexts/AuthContext.test.tsx</t>
  </si>
  <si>
    <t>GAP-016</t>
  </si>
  <si>
    <t>loading, autenticado e anônimo</t>
  </si>
  <si>
    <t>AuthContext mockado</t>
  </si>
  <si>
    <t>renderizar nos três estados</t>
  </si>
  <si>
    <t>spinner/children/redirecionamento corretos</t>
  </si>
  <si>
    <t>src/components/ProtectedRoute.test.tsx</t>
  </si>
  <si>
    <t>GAP-017</t>
  </si>
  <si>
    <t>downloadChecklistPDF</t>
  </si>
  <si>
    <t>nome seguro, erro HTTP e fallback</t>
  </si>
  <si>
    <t>fetch/URL/DOM mockados</t>
  </si>
  <si>
    <t>baixar com nomes especiais e respostas 4xx/5xx</t>
  </si>
  <si>
    <t>arquivo sanitizado; URL revogada; mensagem útil</t>
  </si>
  <si>
    <t>src/utils/pdfGenerator.test.ts</t>
  </si>
  <si>
    <t>GAP-018</t>
  </si>
  <si>
    <t>runner de migrations</t>
  </si>
  <si>
    <t>ordenação, rollback e lock</t>
  </si>
  <si>
    <t>cliente PG e arquivos mockados</t>
  </si>
  <si>
    <t>simular sucesso e falha no meio</t>
  </si>
  <si>
    <t>ordem numérica; rollback; não ameaça users</t>
  </si>
  <si>
    <t>server/tests/migrate.unit.test.ts</t>
  </si>
  <si>
    <t>GAP-019</t>
  </si>
  <si>
    <t>GET/PUT users</t>
  </si>
  <si>
    <t>RBAC, atualização parcial, conflito e rollback</t>
  </si>
  <si>
    <t>ADMIN e pool mockado</t>
  </si>
  <si>
    <t>listar e alterar usuário válido/inválido</t>
  </si>
  <si>
    <t>validação, auditoria e transação corretas</t>
  </si>
  <si>
    <t>server/tests/users.unit.test.ts</t>
  </si>
  <si>
    <t>GAP-020</t>
  </si>
  <si>
    <t>aggregations/feedback</t>
  </si>
  <si>
    <t>papel, propriedade e payload inválido</t>
  </si>
  <si>
    <t>variar papel, owner e nota</t>
  </si>
  <si>
    <t>403/422 corretos; agregações não vazam dados</t>
  </si>
  <si>
    <t>server/tests/interactions.unit.test.ts</t>
  </si>
  <si>
    <t>GAP-021</t>
  </si>
  <si>
    <t>CRUD e seed</t>
  </si>
  <si>
    <t>validação de parâmetros, 404, conflito e rollback</t>
  </si>
  <si>
    <t>ADMIN/pool mockado</t>
  </si>
  <si>
    <t>criar/editar/excluir/seedar em sucesso e falha</t>
  </si>
  <si>
    <t>transações atômicas e respostas consistentes</t>
  </si>
  <si>
    <t>server/tests/jobs.unit.test.ts</t>
  </si>
  <si>
    <t>GAP-022</t>
  </si>
  <si>
    <t>ciclo publicar/rollback</t>
  </si>
  <si>
    <t>estado inválido, UUID inválido e ausência de versão</t>
  </si>
  <si>
    <t>aprovar, publicar e reverter</t>
  </si>
  <si>
    <t>transação e auditoria corretas; erros controlados</t>
  </si>
  <si>
    <t>server/tests/norms.unit.test.ts</t>
  </si>
  <si>
    <t>GAP-023</t>
  </si>
  <si>
    <t>CRUD/publicação</t>
  </si>
  <si>
    <t>duplicidade, 404, publish/rollback e seed</t>
  </si>
  <si>
    <t>executar caminhos positivos e negativos</t>
  </si>
  <si>
    <t>sem estados parciais; validação consistente</t>
  </si>
  <si>
    <t>server/tests/dictionary.unit.test.ts</t>
  </si>
  <si>
    <t>GAP-024</t>
  </si>
  <si>
    <t>importações</t>
  </si>
  <si>
    <t>itens inválidos, duplicados e falha transacional</t>
  </si>
  <si>
    <t>importar lote misto e lote válido</t>
  </si>
  <si>
    <t>422 sem persistência parcial; sucesso auditado</t>
  </si>
  <si>
    <t>server/tests/checklistCatalog.unit.test.ts</t>
  </si>
  <si>
    <t>GAP-025</t>
  </si>
  <si>
    <t>POST /</t>
  </si>
  <si>
    <t>hidratação, comando e idempotência concorrente</t>
  </si>
  <si>
    <t>pool/validationEngine mockados</t>
  </si>
  <si>
    <t>criar payload multi-job e repetir chave</t>
  </si>
  <si>
    <t>comandos ordenados; uma criação por chave; rollback em falha</t>
  </si>
  <si>
    <t>server/tests/applicationChecklists.unit.test.ts</t>
  </si>
  <si>
    <t>GAP-026</t>
  </si>
  <si>
    <t>métodos API</t>
  </si>
  <si>
    <t>paths, verbos, corpo e propagação de erro</t>
  </si>
  <si>
    <t>api mockada</t>
  </si>
  <si>
    <t>chamar cada método com dados limite</t>
  </si>
  <si>
    <t>contrato HTTP exato e erros preservados</t>
  </si>
  <si>
    <t>src/services/checklistService.test.ts</t>
  </si>
  <si>
    <t>GAP-027</t>
  </si>
  <si>
    <t>CRUD jobs</t>
  </si>
  <si>
    <t>serialização de parâmetros e erros</t>
  </si>
  <si>
    <t>listar/criar/alterar/excluir</t>
  </si>
  <si>
    <t>payload e endpoints corretos</t>
  </si>
  <si>
    <t>src/services/jobService.test.ts</t>
  </si>
  <si>
    <t>GAP-028</t>
  </si>
  <si>
    <t>CRUD/publish/rollback</t>
  </si>
  <si>
    <t>escopo de aplicabilidade e erros</t>
  </si>
  <si>
    <t>executar operações e payloads inválidos</t>
  </si>
  <si>
    <t>contrato correto; erro não ocultado</t>
  </si>
  <si>
    <t>src/services/normService.test.ts</t>
  </si>
  <si>
    <t>GAP-029</t>
  </si>
  <si>
    <t>campos obrigatórios e erros</t>
  </si>
  <si>
    <t>executar métodos</t>
  </si>
  <si>
    <t>paths e payloads corretos</t>
  </si>
  <si>
    <t>src/services/dictionaryService.test.ts</t>
  </si>
  <si>
    <t>GAP-030</t>
  </si>
  <si>
    <t>list/import</t>
  </si>
  <si>
    <t>filtros e importação vazia</t>
  </si>
  <si>
    <t>listar por kind e importar</t>
  </si>
  <si>
    <t>query/payload corretos</t>
  </si>
  <si>
    <t>src/services/checklistCatalogService.test.ts</t>
  </si>
  <si>
    <t>GAP-031</t>
  </si>
  <si>
    <t>gestão de usuários</t>
  </si>
  <si>
    <t>carregamento, edição, erro e permissão</t>
  </si>
  <si>
    <t>serviço/Auth mockados</t>
  </si>
  <si>
    <t>renderizar e editar</t>
  </si>
  <si>
    <t>feedback visual; formulário validado; sem ação proibida</t>
  </si>
  <si>
    <t>src/pages/UsersPage.test.tsx</t>
  </si>
  <si>
    <t>GAP-032</t>
  </si>
  <si>
    <t>chat e checklist</t>
  </si>
  <si>
    <t>envio, erro, seleção de modelo e persistência</t>
  </si>
  <si>
    <t>serviços mockados</t>
  </si>
  <si>
    <t>executar jornadas críticas</t>
  </si>
  <si>
    <t>estado e mensagens coerentes; sem duplicação</t>
  </si>
  <si>
    <t>src/components/AgentView.test.tsx</t>
  </si>
  <si>
    <t>GAP-033</t>
  </si>
  <si>
    <t>login</t>
  </si>
  <si>
    <t>sucesso, credencial inválida e loading</t>
  </si>
  <si>
    <t>Auth mockado</t>
  </si>
  <si>
    <t>preencher e submeter</t>
  </si>
  <si>
    <t>navegação/erro e bloqueio de duplo envio</t>
  </si>
  <si>
    <t>src/pages/LoginPage.test.tsx</t>
  </si>
  <si>
    <t>GAP-034</t>
  </si>
  <si>
    <t>cadastro</t>
  </si>
  <si>
    <t>senhas divergentes, API falha e sucesso</t>
  </si>
  <si>
    <t>Auth/api mockados</t>
  </si>
  <si>
    <t>submeter variações</t>
  </si>
  <si>
    <t>validação local e feedback corretos</t>
  </si>
  <si>
    <t>src/pages/SignupPage.test.tsx</t>
  </si>
  <si>
    <t>GAP-035</t>
  </si>
  <si>
    <t>histórico</t>
  </si>
  <si>
    <t>vazio, carregamento, erro e seleção</t>
  </si>
  <si>
    <t>serviço mockado</t>
  </si>
  <si>
    <t>renderizar estados</t>
  </si>
  <si>
    <t>mensagens e seleção corretas</t>
  </si>
  <si>
    <t>src/components/HistoryView.test.tsx</t>
  </si>
  <si>
    <t>GAP-036</t>
  </si>
  <si>
    <t>dicionário/normas/jobs</t>
  </si>
  <si>
    <t>permissões, filtros e erros CRUD</t>
  </si>
  <si>
    <t>serviços/Auth mockados</t>
  </si>
  <si>
    <t>variar papel e operações</t>
  </si>
  <si>
    <t>ações disponíveis somente ao papel correto</t>
  </si>
  <si>
    <t>src/components/KnowledgeViews.test.tsx</t>
  </si>
  <si>
    <t>Resumo do Plano de Testes</t>
  </si>
  <si>
    <t>Total de casos de teste</t>
  </si>
  <si>
    <t>Casos por Módulo</t>
  </si>
  <si>
    <t>Casos por Tipo</t>
  </si>
  <si>
    <t>Casos por Prioridade</t>
  </si>
  <si>
    <t>Cobertura Automatizada (casos deste plano)</t>
  </si>
  <si>
    <t>Casos com teste automatizado de referência</t>
  </si>
  <si>
    <t>Casos apenas manuais/exploratórios</t>
  </si>
  <si>
    <t>Cobertura de Código Medida (auditoria 07/08/2026)</t>
  </si>
  <si>
    <t>Cobertura global de linhas/statements</t>
  </si>
  <si>
    <t>Cobertura global de branches</t>
  </si>
  <si>
    <t>Cobertura global de funções</t>
  </si>
  <si>
    <t>Arquivos "Coberto" (≥80% linhas) — de 46</t>
  </si>
  <si>
    <t>Arquivos "Parcial" — de 46</t>
  </si>
  <si>
    <t>Arquivos "Sem cobertura" — de 46</t>
  </si>
  <si>
    <t>Lacunas de Testes Unitários por Prioridade</t>
  </si>
  <si>
    <t>Total de lacunas priorizadas</t>
  </si>
  <si>
    <t>Categoria</t>
  </si>
  <si>
    <t>Requisito</t>
  </si>
  <si>
    <t>Critério de Aceite</t>
  </si>
  <si>
    <t>Método de Verificação</t>
  </si>
  <si>
    <t>NF-001</t>
  </si>
  <si>
    <t>Senhas armazenadas com hashing forte (bcryptjs)</t>
  </si>
  <si>
    <t>Nenhuma senha em texto plano é gravada no banco em nenhuma tabela.</t>
  </si>
  <si>
    <t>Inspeção do schema/dados de teste após signup e criação de usuário.</t>
  </si>
  <si>
    <t>NF-002</t>
  </si>
  <si>
    <t>Tokens JWT possuem expiração e refresh tokens são revogáveis</t>
  </si>
  <si>
    <t>Access token expira dentro do tempo configurado; refresh token pode ser revogado no logout.</t>
  </si>
  <si>
    <t>server/tests/auth_cycle.test.ts + inspeção de payload do JWT.</t>
  </si>
  <si>
    <t>NF-003</t>
  </si>
  <si>
    <t>Todas as queries usam parametrização (proteção contra SQL Injection)</t>
  </si>
  <si>
    <t>Tentativas de injeção via campos de texto (nome, termo, filtros) não alteram o comportamento da query.</t>
  </si>
  <si>
    <t>Casos exploratórios manuais em campos de busca/formulário e revisão de código (uso de pg parametrizado).</t>
  </si>
  <si>
    <t>NF-004</t>
  </si>
  <si>
    <t>RBAC aplicado de forma consistente em 100% das rotas administrativas</t>
  </si>
  <si>
    <t>Nenhuma rota que altera dados de norma/dicionário/catálogo/usuário é acessível por papel não autorizado.</t>
  </si>
  <si>
    <t>server/tests/rbac.test.ts + varredura manual de rotas do server/routes.</t>
  </si>
  <si>
    <t>NF-005</t>
  </si>
  <si>
    <t>Auditoria imutável de ações sensíveis</t>
  </si>
  <si>
    <t>Registros em JobsIA_audit_logs não podem ser alterados/excluídos por rota de API.</t>
  </si>
  <si>
    <t>Tentativa manual de PUT/DELETE sobre registros de auditoria (esperado: sem rota disponível).</t>
  </si>
  <si>
    <t>NF-006</t>
  </si>
  <si>
    <t>Desempenho</t>
  </si>
  <si>
    <t>Tempo de resposta de endpoints críticos</t>
  </si>
  <si>
    <t>GET /api/checklists, POST /api/validate-checklist e POST /api/checklists/application respondem em até 2s sob carga de teste com massa representativa.</t>
  </si>
  <si>
    <t>Medição manual (ex.: cURL/Insomnia) com massa de ~500 checklists no banco de testes.</t>
  </si>
  <si>
    <t>NF-007</t>
  </si>
  <si>
    <t>Geração de PDF sob checklist extenso</t>
  </si>
  <si>
    <t>PDF de um checklist de Application com múltiplos jobs e validação extensa é gerado em até 5s.</t>
  </si>
  <si>
    <t>server/tests/pdf.test.ts (cenário de overflow) + medição manual de tempo.</t>
  </si>
  <si>
    <t>NF-008</t>
  </si>
  <si>
    <t>Resposta do chat da LIA</t>
  </si>
  <si>
    <t>Tempo até o primeiro byte de resposta do gateway de IA é aceitável para uso conversacional (sem timeout do cliente).</t>
  </si>
  <si>
    <t>Teste manual exploratório na tela do Agente.</t>
  </si>
  <si>
    <t>NF-009</t>
  </si>
  <si>
    <t>Confiabilidade</t>
  </si>
  <si>
    <t>Suítes automatizadas passam de forma consistente no CI</t>
  </si>
  <si>
    <t>"npm test", "npm run test:integration" e "npm run test:coverage" concluem sem falha no workflow .github/workflows/test.yml.</t>
  </si>
  <si>
    <t>Execução do pipeline de CI a cada pull request.</t>
  </si>
  <si>
    <t>NF-010</t>
  </si>
  <si>
    <t>Cobertura de código não regride abaixo do baseline bloqueante</t>
  </si>
  <si>
    <t>c8 --check-coverage aprova com lines≥19%, statements≥19%, branches≥55%, functions≥45%. Medição real em 07/08/2026: 20,14%/20,14%/59,09%/50,81% — acima do baseline, porém com 23 de 46 arquivos ainda em 0% (ver aba "Matriz de Cobertura por Arquivo").</t>
  </si>
  <si>
    <t>"npm run test:coverage".</t>
  </si>
  <si>
    <t>NF-011</t>
  </si>
  <si>
    <t>Deploy em produção preserva o volume e a tabela public.users</t>
  </si>
  <si>
    <t>Contagem de usuários antes e depois do deploy é idêntica; migrations bloqueiam operações destrutivas em public.users.</t>
  </si>
  <si>
    <t>server/tests/migrationSafety.test.ts + procedimento manual descrito no README.</t>
  </si>
  <si>
    <t>NF-012</t>
  </si>
  <si>
    <t>Usabilidade</t>
  </si>
  <si>
    <t>Mensagens de erro de validação são claras e acionáveis</t>
  </si>
  <si>
    <t>Erros do motor de validação indicam a regra da norma violada e o campo/arquivo específico.</t>
  </si>
  <si>
    <t>Inspeção manual das respostas de POST /api/validate-checklist.</t>
  </si>
  <si>
    <t>NF-013</t>
  </si>
  <si>
    <t>Fluxos de aprovação/publicação de normas e dicionário são claros na UI</t>
  </si>
  <si>
    <t>Usuário ADMIN identifica visualmente o estado atual (rascunho/aprovado/publicado) de cada item.</t>
  </si>
  <si>
    <t>Teste exploratório manual em KnowledgeViews.</t>
  </si>
  <si>
    <t>NF-014</t>
  </si>
  <si>
    <t>Compatibilidade</t>
  </si>
  <si>
    <t>Aplicação funciona nos navegadores corporativos suportados</t>
  </si>
  <si>
    <t>Layout e funcionalidades principais funcionam em Chrome, Edge e Firefox nas versões vigentes.</t>
  </si>
  <si>
    <t>Teste manual cross-browser das telas principais.</t>
  </si>
  <si>
    <t>NF-015</t>
  </si>
  <si>
    <t>Responsividade mínima para uso em notebook/desktop</t>
  </si>
  <si>
    <t>Telas principais permanecem utilizáveis em resoluções a partir de 1366×768.</t>
  </si>
  <si>
    <t>Teste manual de responsividade.</t>
  </si>
  <si>
    <t>NF-016</t>
  </si>
  <si>
    <t>Manutenibilidade</t>
  </si>
  <si>
    <t>Verificação de tipos TypeScript sem erros</t>
  </si>
  <si>
    <t>"npm run lint" (tsc --noEmit) conclui sem erros de tipagem no frontend e backend.</t>
  </si>
  <si>
    <t>Execução de "npm run lint" no pipeline de CI.</t>
  </si>
  <si>
    <t>NF-017</t>
  </si>
  <si>
    <t>Segurança de Dependências</t>
  </si>
  <si>
    <t>Ausência de vulnerabilidades críticas em dependências</t>
  </si>
  <si>
    <t>Pipeline de CI bloqueia merge quando há vulnerabilidade crítica reportada nas dependências.</t>
  </si>
  <si>
    <t>Etapa de auditoria de dependências do workflow .github/workflows/test.yml.</t>
  </si>
  <si>
    <t>NF-018</t>
  </si>
  <si>
    <t>Backlog de testes unitários P0 fechado antes do próximo release</t>
  </si>
  <si>
    <t>Os 17 itens de Prioridade P0 da aba "Lacunas de Testes Unitários" (auth, RBAC, validationEngine, checklists.ts, ai.ts, api.ts, AuthContext, ProtectedRoute, pdfGenerator) têm teste automatizado implementado.</t>
  </si>
  <si>
    <t>Revisão da aba "Lacunas de Testes Unitários" + execução de "npm run test:coverage" por arquivo.</t>
  </si>
  <si>
    <t>Referência</t>
  </si>
  <si>
    <t>Descrição</t>
  </si>
  <si>
    <t>Casos de Teste / Itens relacionados</t>
  </si>
  <si>
    <t>ADR 001</t>
  </si>
  <si>
    <t>Migração para autenticação própria (Custom Auth / JWT local, bcryptjs, refresh_tokens).</t>
  </si>
  <si>
    <t>CT-001 a CT-010</t>
  </si>
  <si>
    <t>ADR 002</t>
  </si>
  <si>
    <t>Motor de validação determinístico da norma N/PD/004/02, acionado de forma síncrona antes de salvar/gerar PDF.</t>
  </si>
  <si>
    <t>CT-048 a CT-072</t>
  </si>
  <si>
    <t>ADR 003</t>
  </si>
  <si>
    <t>Gerenciamento dinâmico de dicionário e normas; apenas conteúdo publicado é injetado no prompt da LIA.</t>
  </si>
  <si>
    <t>CT-028 a CT-047, CT-107</t>
  </si>
  <si>
    <t>Norma 5.1.1</t>
  </si>
  <si>
    <t>Nomenclatura de arquivos Unix (com exceções de Shell Script e JAR).</t>
  </si>
  <si>
    <t>CT-048 a CT-054</t>
  </si>
  <si>
    <t>Norma 5.1.2</t>
  </si>
  <si>
    <t>Nomenclatura de arquivos Windows.</t>
  </si>
  <si>
    <t>Norma 5.1.3</t>
  </si>
  <si>
    <t>Nomenclatura de arquivos Mainframe.</t>
  </si>
  <si>
    <t>Norma 5.2 / 5.2.1</t>
  </si>
  <si>
    <t>Objeto procedural SQL e nome do objeto.</t>
  </si>
  <si>
    <t>CT-057, CT-058</t>
  </si>
  <si>
    <t>Norma 5.3.1 / 5.3.2</t>
  </si>
  <si>
    <t>Fita magnética Windows/Unix e Unix (banco de dados).</t>
  </si>
  <si>
    <t>CT-059, CT-060</t>
  </si>
  <si>
    <t>Norma 5.4.1 / 5.4.2</t>
  </si>
  <si>
    <t>Connect:Direct de envio e recebimento.</t>
  </si>
  <si>
    <t>CT-061, CT-062</t>
  </si>
  <si>
    <t>Checklist v2 (Application)</t>
  </si>
  <si>
    <t>Application com múltiplos jobs, ponte, genérico, agendamento e catálogo oficial DIOT.</t>
  </si>
  <si>
    <t>CT-081 a CT-097</t>
  </si>
  <si>
    <t>RBAC (README §Matriz de Escopo)</t>
  </si>
  <si>
    <t>Papéis ADMIN, OPERADOR e SOLICITANTE com middlewares de segurança no backend.</t>
  </si>
  <si>
    <t>CT-011 a CT-024</t>
  </si>
  <si>
    <t>Deploy seguro em produção (README)</t>
  </si>
  <si>
    <t>Deploy não pode remover/recriar/alterar a quantidade de registros de public.users nem o volume do banco.</t>
  </si>
  <si>
    <t>CT-131 a CT-137, CT-152</t>
  </si>
  <si>
    <t>GAP-001 a GAP-004 (P0)</t>
  </si>
  <si>
    <t>server/routes/checklists.ts sem teste unitário isolado (3,88% linhas): isolamento por papel, anti-spoofing de user_id, status de validação e autorização de PDF.</t>
  </si>
  <si>
    <t>CT-020 a CT-023, CT-073, CT-076, CT-079, CT-080</t>
  </si>
  <si>
    <t>GAP-005 a GAP-007 (P0)</t>
  </si>
  <si>
    <t>server/services/validationEngine.ts sem teste unitário isolado (16,73% linhas): validação sem regras publicadas, required/regex/dependência e Application multi-job.</t>
  </si>
  <si>
    <t>GAP-008/GAP-009 (P0)</t>
  </si>
  <si>
    <t>server/middleware/auth.ts sem teste unitário isolado (50% linhas): requireAuth e requireRole/requireOwnership em toda a matriz de papéis.</t>
  </si>
  <si>
    <t>CT-008, CT-011 a CT-024</t>
  </si>
  <si>
    <t>GAP-010/GAP-011 (P0)</t>
  </si>
  <si>
    <t>server/routes/auth.ts sem teste unitário isolado (12,07% linhas): login com falhas variadas, refresh/logout e reuso de token revogado.</t>
  </si>
  <si>
    <t>CT-001 a CT-007, CT-010</t>
  </si>
  <si>
    <t>GAP-012/GAP-013 (P0)</t>
  </si>
  <si>
    <t>server/routes/ai.ts sem teste unitário isolado (21,71% linhas): sanitização/timeout do provedor de IA e isolamento de conversas entre usuários.</t>
  </si>
  <si>
    <t>CT-098, CT-103, CT-106</t>
  </si>
  <si>
    <t>GAP-014 (P0)</t>
  </si>
  <si>
    <t>src/lib/api.ts sem nenhum teste (0%): interceptor de renovação de token em 401 e prevenção de loop de refresh.</t>
  </si>
  <si>
    <t>CT (novo caso) "Interceptor de API" — módulo Interface (Frontend)</t>
  </si>
  <si>
    <t>GAP-015 (P0)</t>
  </si>
  <si>
    <t>src/contexts/AuthContext.tsx sem nenhum teste (0%): hidratação de sessão, login/logout e reação a token inválido.</t>
  </si>
  <si>
    <t>CT-138, CT-142, CT (novo caso) "AuthContext"</t>
  </si>
  <si>
    <t>GAP-016 (P0)</t>
  </si>
  <si>
    <t>src/components/ProtectedRoute.tsx sem nenhum teste (0%): estados loading/autenticado/anônimo e bloqueio por papel.</t>
  </si>
  <si>
    <t>CT-140, CT-141</t>
  </si>
  <si>
    <t>GAP-017 (P0)</t>
  </si>
  <si>
    <t>src/utils/pdfGenerator.ts sem nenhum teste (0%): nome de arquivo seguro, erro HTTP e fallback no download do PDF.</t>
  </si>
  <si>
    <t>CT-079, CT-123 a CT-130</t>
  </si>
  <si>
    <t>GAP-018 a GAP-030 (P1)</t>
  </si>
  <si>
    <t>Backlog P1: migrate.ts, users.ts, interactions.ts, jobs.ts, norms.ts, dictionary.ts, checklistCatalog.ts, applicationChecklists.ts e serviços HTTP do frontend sem teste unitário isolado.</t>
  </si>
  <si>
    <t>CT-025 a CT-047, CT-081 a CT-097, CT-111 a CT-122, CT-144 a CT-148</t>
  </si>
  <si>
    <t>GAP-031 a GAP-036 (P2)</t>
  </si>
  <si>
    <t>Backlog P2: páginas e componentes React de menor criticidade (LoginPage, SignupPage, HistoryView, KnowledgeViews) sem teste de componente.</t>
  </si>
  <si>
    <t>CT-138, CT-139, CT-145, CT-146</t>
  </si>
  <si>
    <t>Item</t>
  </si>
  <si>
    <t>Backend</t>
  </si>
  <si>
    <t>Express.js/TypeScript executado via "npm run server", disponível em http://localhost:3001.</t>
  </si>
  <si>
    <t>Frontend</t>
  </si>
  <si>
    <t>React/Vite executado via "npm run dev", disponível em http://localhost:3000.</t>
  </si>
  <si>
    <t>Banco de dados de testes</t>
  </si>
  <si>
    <t>PostgreSQL 14+ dedicado, nunca reaproveitando DATABASE_URL de produção; string informada em DATABASE_URL_TEST.</t>
  </si>
  <si>
    <t>Setup do schema de testes</t>
  </si>
  <si>
    <t>JOBSIA_ALLOW_DESTRUCTIVE_SCHEMA_TEST=1 DATABASE_URL_TEST=... npm run test:schema (destrutivo; exige nome do banco com marcador de teste).</t>
  </si>
  <si>
    <t>Variáveis de ambiente obrigatórias</t>
  </si>
  <si>
    <t>DATABASE_URL, JWT_SECRET, VITE_API_URL, CORS_ORIGIN (ver .env.example).</t>
  </si>
  <si>
    <t>Suíte unitária</t>
  </si>
  <si>
    <t>"npm test" / "npm run test:unit" — não depende de PostgreSQL real.</t>
  </si>
  <si>
    <t>Suíte de integração</t>
  </si>
  <si>
    <t>"npm run test:integration" (DATABASE_URL_TEST obrigatória).</t>
  </si>
  <si>
    <t>Suíte de cobertura</t>
  </si>
  <si>
    <t>"npm run test:coverage" — c8 com baseline mínimo (lines 19%, statements 19%, branches 55%, functions 45%).</t>
  </si>
  <si>
    <t>Suítes segmentadas</t>
  </si>
  <si>
    <t>"npm run test:rbac", "npm run test:validation", "npm run test:security", "npm run test:interaction", "npm run test:jobs", "npm run test:system-prompts".</t>
  </si>
  <si>
    <t>CI/CD</t>
  </si>
  <si>
    <t>Workflow ".github/workflows/test.yml" provisiona PostgreSQL efêmero e roda schema, integração, cobertura, build e checagem de tipos.</t>
  </si>
  <si>
    <t>Usuário de teste — ADMIN</t>
  </si>
  <si>
    <t>Conta promovida via UPDATE users SET role='ADMIN' (ver README) — usada para casos de administração, catálogo e auditoria.</t>
  </si>
  <si>
    <t>Usuário de teste — OPERADOR</t>
  </si>
  <si>
    <t>Conta com papel OPERADOR — usada para casos de leitura ampliada e RBAC intermediário.</t>
  </si>
  <si>
    <t>Usuário de teste — SOLICITANTE</t>
  </si>
  <si>
    <t>Conta criada via /signup (papel padrão) — usada para casos de isolamento de dados e restrição de acesso.</t>
  </si>
  <si>
    <t>Massa — Jobs e parâmetros</t>
  </si>
  <si>
    <t>Executar POST /api/jobs/seed como ADMIN para popular tipos de job e parâmetros padrão.</t>
  </si>
  <si>
    <t>Massa — Normas</t>
  </si>
  <si>
    <t>Executar POST /api/norms/seed como ADMIN; publicar ao menos uma norma para testes de contexto da LIA.</t>
  </si>
  <si>
    <t>Massa — Dicionário</t>
  </si>
  <si>
    <t>Executar POST /api/dictionary/seed como ADMIN; publicar ao menos um termo.</t>
  </si>
  <si>
    <t>Massa — Catálogo oficial</t>
  </si>
  <si>
    <t>Publicar itens GENERIC/BRIDGE e ao menos uma regra de Application via POST /api/checklist-catalog/import e /application-rules/import.</t>
  </si>
  <si>
    <t>Restrições de produção</t>
  </si>
  <si>
    <t>Nunca executar "docker compose down -v", "--volumes", "docker volume prune" ou "npm run test:schema" em produção (ver README).</t>
  </si>
  <si>
    <t>Mocks para o backlog de testes unitários</t>
  </si>
  <si>
    <t>Os itens da aba "Lacunas de Testes Unitários" dependem de dublês determinísticos: pool do pg, bcrypt/JWT, cliente GenAI (LIA) e, no frontend, fetch/localStorage/URL — sem acesso a banco, provedor de IA real ou armazenamento do navegador.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</si>
</sst>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3864"/>
      <sz val="22"/>
    </font>
    <font>
      <b/>
      <color rgb="FF404040"/>
      <sz val="13"/>
    </font>
    <font>
      <b/>
    </font>
    <font>
      <b/>
      <color rgb="FF1F3864"/>
      <sz val="12"/>
    </font>
    <font/>
    <font>
      <b/>
      <color rgb="FFFFFFFF"/>
      <sz val="11"/>
    </font>
    <font>
      <b/>
      <color rgb="FF1F3864"/>
      <sz val="16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  <fill>
      <patternFill patternType="solid">
        <fgColor rgb="FFF8CBAD"/>
      </patternFill>
    </fill>
    <fill>
      <patternFill patternType="solid">
        <fgColor rgb="FFF2F5FA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indent="1"/>
    </xf>
    <xf numFmtId="0" fontId="5" fillId="0" borderId="0" xfId="0" applyFont="1" applyAlignment="1">
      <alignment vertical="top" wrapText="1" inden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0" fontId="0" fillId="0" borderId="1" xfId="0" applyNumberFormat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0" fontId="0" fillId="5" borderId="1" xfId="0" applyNumberForma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10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2:C67"/>
  <sheetFormatPr defaultRowHeight="15" outlineLevelRow="0" outlineLevelCol="0" x14ac:dyDescent="55"/>
  <cols>
    <col min="1" max="1" width="3" customWidth="1"/>
    <col min="2" max="2" width="34" customWidth="1"/>
    <col min="3" max="3" width="90" customWidth="1"/>
  </cols>
  <sheetData>
    <row r="2" spans="2:3" x14ac:dyDescent="0.25">
      <c r="B2" s="1" t="s">
        <v>0</v>
      </c>
      <c r="C2" s="1"/>
    </row>
    <row r="3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13</v>
      </c>
    </row>
    <row r="11" spans="2:3" x14ac:dyDescent="0.25">
      <c r="B11" s="3" t="s">
        <v>14</v>
      </c>
      <c r="C11" s="4" t="s">
        <v>15</v>
      </c>
    </row>
    <row r="13" ht="20" customHeight="1" spans="2:3" x14ac:dyDescent="0.25">
      <c r="B13" s="5" t="s">
        <v>16</v>
      </c>
      <c r="C13" s="5"/>
    </row>
    <row r="14" spans="2:3" x14ac:dyDescent="0.25">
      <c r="B14" s="6" t="s">
        <v>17</v>
      </c>
      <c r="C14" s="6"/>
    </row>
    <row r="16" ht="20" customHeight="1" spans="2:3" x14ac:dyDescent="0.25">
      <c r="B16" s="5" t="s">
        <v>18</v>
      </c>
      <c r="C16" s="5"/>
    </row>
    <row r="17" spans="2:3" x14ac:dyDescent="0.25">
      <c r="B17" s="6" t="s">
        <v>19</v>
      </c>
      <c r="C17" s="6"/>
    </row>
    <row r="18" spans="2:3" x14ac:dyDescent="0.25">
      <c r="B18" s="6" t="s">
        <v>20</v>
      </c>
      <c r="C18" s="6"/>
    </row>
    <row r="19" spans="2:3" x14ac:dyDescent="0.25">
      <c r="B19" s="6" t="s">
        <v>21</v>
      </c>
      <c r="C19" s="6"/>
    </row>
    <row r="20" spans="2:3" x14ac:dyDescent="0.25">
      <c r="B20" s="6" t="s">
        <v>22</v>
      </c>
      <c r="C20" s="6"/>
    </row>
    <row r="21" spans="2:3" x14ac:dyDescent="0.25">
      <c r="B21" s="6" t="s">
        <v>23</v>
      </c>
      <c r="C21" s="6"/>
    </row>
    <row r="22" spans="2:3" x14ac:dyDescent="0.25">
      <c r="B22" s="6" t="s">
        <v>24</v>
      </c>
      <c r="C22" s="6"/>
    </row>
    <row r="23" spans="2:3" x14ac:dyDescent="0.25">
      <c r="B23" s="6" t="s">
        <v>25</v>
      </c>
      <c r="C23" s="6"/>
    </row>
    <row r="24" spans="2:3" x14ac:dyDescent="0.25">
      <c r="B24" s="6" t="s">
        <v>26</v>
      </c>
      <c r="C24" s="6"/>
    </row>
    <row r="26" ht="20" customHeight="1" spans="2:3" x14ac:dyDescent="0.25">
      <c r="B26" s="5" t="s">
        <v>27</v>
      </c>
      <c r="C26" s="5"/>
    </row>
    <row r="27" spans="2:3" x14ac:dyDescent="0.25">
      <c r="B27" s="6" t="s">
        <v>28</v>
      </c>
      <c r="C27" s="6"/>
    </row>
    <row r="28" spans="2:3" x14ac:dyDescent="0.25">
      <c r="B28" s="6" t="s">
        <v>29</v>
      </c>
      <c r="C28" s="6"/>
    </row>
    <row r="29" spans="2:3" x14ac:dyDescent="0.25">
      <c r="B29" s="6" t="s">
        <v>30</v>
      </c>
      <c r="C29" s="6"/>
    </row>
    <row r="30" spans="2:3" x14ac:dyDescent="0.25">
      <c r="B30" s="6" t="s">
        <v>31</v>
      </c>
      <c r="C30" s="6"/>
    </row>
    <row r="32" ht="20" customHeight="1" spans="2:3" x14ac:dyDescent="0.25">
      <c r="B32" s="5" t="s">
        <v>32</v>
      </c>
      <c r="C32" s="5"/>
    </row>
    <row r="33" spans="2:3" x14ac:dyDescent="0.25">
      <c r="B33" s="6" t="s">
        <v>33</v>
      </c>
      <c r="C33" s="6"/>
    </row>
    <row r="34" spans="2:3" x14ac:dyDescent="0.25">
      <c r="B34" s="6" t="s">
        <v>34</v>
      </c>
      <c r="C34" s="6"/>
    </row>
    <row r="35" spans="2:3" x14ac:dyDescent="0.25">
      <c r="B35" s="6" t="s">
        <v>35</v>
      </c>
      <c r="C35" s="6"/>
    </row>
    <row r="36" spans="2:3" x14ac:dyDescent="0.25">
      <c r="B36" s="6" t="s">
        <v>36</v>
      </c>
      <c r="C36" s="6"/>
    </row>
    <row r="37" spans="2:3" x14ac:dyDescent="0.25">
      <c r="B37" s="6" t="s">
        <v>37</v>
      </c>
      <c r="C37" s="6"/>
    </row>
    <row r="38" spans="2:3" x14ac:dyDescent="0.25">
      <c r="B38" s="6" t="s">
        <v>38</v>
      </c>
      <c r="C38" s="6"/>
    </row>
    <row r="40" ht="20" customHeight="1" spans="2:3" x14ac:dyDescent="0.25">
      <c r="B40" s="5" t="s">
        <v>39</v>
      </c>
      <c r="C40" s="5"/>
    </row>
    <row r="41" spans="2:3" x14ac:dyDescent="0.25">
      <c r="B41" s="6" t="s">
        <v>40</v>
      </c>
      <c r="C41" s="6"/>
    </row>
    <row r="42" spans="2:3" x14ac:dyDescent="0.25">
      <c r="B42" s="6" t="s">
        <v>41</v>
      </c>
      <c r="C42" s="6"/>
    </row>
    <row r="43" spans="2:3" x14ac:dyDescent="0.25">
      <c r="B43" s="6" t="s">
        <v>42</v>
      </c>
      <c r="C43" s="6"/>
    </row>
    <row r="45" ht="20" customHeight="1" spans="2:3" x14ac:dyDescent="0.25">
      <c r="B45" s="5" t="s">
        <v>43</v>
      </c>
      <c r="C45" s="5"/>
    </row>
    <row r="46" spans="2:3" x14ac:dyDescent="0.25">
      <c r="B46" s="6" t="s">
        <v>44</v>
      </c>
      <c r="C46" s="6"/>
    </row>
    <row r="47" spans="2:3" x14ac:dyDescent="0.25">
      <c r="B47" s="6" t="s">
        <v>45</v>
      </c>
      <c r="C47" s="6"/>
    </row>
    <row r="48" spans="2:3" x14ac:dyDescent="0.25">
      <c r="B48" s="6" t="s">
        <v>46</v>
      </c>
      <c r="C48" s="6"/>
    </row>
    <row r="49" spans="2:3" x14ac:dyDescent="0.25">
      <c r="B49" s="6" t="s">
        <v>47</v>
      </c>
      <c r="C49" s="6"/>
    </row>
    <row r="51" ht="20" customHeight="1" spans="2:3" x14ac:dyDescent="0.25">
      <c r="B51" s="5" t="s">
        <v>48</v>
      </c>
      <c r="C51" s="5"/>
    </row>
    <row r="52" spans="2:3" x14ac:dyDescent="0.25">
      <c r="B52" s="6" t="s">
        <v>49</v>
      </c>
      <c r="C52" s="6"/>
    </row>
    <row r="53" spans="2:3" x14ac:dyDescent="0.25">
      <c r="B53" s="6" t="s">
        <v>50</v>
      </c>
      <c r="C53" s="6"/>
    </row>
    <row r="54" spans="2:3" x14ac:dyDescent="0.25">
      <c r="B54" s="6" t="s">
        <v>51</v>
      </c>
      <c r="C54" s="6"/>
    </row>
    <row r="55" spans="2:3" x14ac:dyDescent="0.25">
      <c r="B55" s="6" t="s">
        <v>52</v>
      </c>
      <c r="C55" s="6"/>
    </row>
    <row r="57" ht="20" customHeight="1" spans="2:3" x14ac:dyDescent="0.25">
      <c r="B57" s="5" t="s">
        <v>53</v>
      </c>
      <c r="C57" s="5"/>
    </row>
    <row r="58" spans="2:3" x14ac:dyDescent="0.25">
      <c r="B58" s="6" t="s">
        <v>54</v>
      </c>
      <c r="C58" s="6"/>
    </row>
    <row r="59" spans="2:3" x14ac:dyDescent="0.25">
      <c r="B59" s="6" t="s">
        <v>55</v>
      </c>
      <c r="C59" s="6"/>
    </row>
    <row r="60" spans="2:3" x14ac:dyDescent="0.25">
      <c r="B60" s="6" t="s">
        <v>56</v>
      </c>
      <c r="C60" s="6"/>
    </row>
    <row r="61" spans="2:3" x14ac:dyDescent="0.25">
      <c r="B61" s="6" t="s">
        <v>57</v>
      </c>
      <c r="C61" s="6"/>
    </row>
    <row r="62" spans="2:3" x14ac:dyDescent="0.25">
      <c r="B62" s="6" t="s">
        <v>58</v>
      </c>
      <c r="C62" s="6"/>
    </row>
    <row r="64" ht="20" customHeight="1" spans="2:3" x14ac:dyDescent="0.25">
      <c r="B64" s="5" t="s">
        <v>59</v>
      </c>
      <c r="C64" s="5"/>
    </row>
    <row r="65" spans="2:3" x14ac:dyDescent="0.25">
      <c r="B65" s="6" t="s">
        <v>60</v>
      </c>
      <c r="C65" s="6"/>
    </row>
    <row r="66" spans="2:3" x14ac:dyDescent="0.25">
      <c r="B66" s="6" t="s">
        <v>61</v>
      </c>
      <c r="C66" s="6"/>
    </row>
    <row r="67" spans="2:3" x14ac:dyDescent="0.25">
      <c r="B67" s="6" t="s">
        <v>62</v>
      </c>
      <c r="C67" s="6"/>
    </row>
  </sheetData>
  <mergeCells count="49">
    <mergeCell ref="B2:C2"/>
    <mergeCell ref="B3:C3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6:C26"/>
    <mergeCell ref="B27:C27"/>
    <mergeCell ref="B28:C28"/>
    <mergeCell ref="B29:C29"/>
    <mergeCell ref="B30:C30"/>
    <mergeCell ref="B32:C32"/>
    <mergeCell ref="B33:C33"/>
    <mergeCell ref="B34:C34"/>
    <mergeCell ref="B35:C35"/>
    <mergeCell ref="B36:C36"/>
    <mergeCell ref="B37:C37"/>
    <mergeCell ref="B38:C38"/>
    <mergeCell ref="B40:C40"/>
    <mergeCell ref="B41:C41"/>
    <mergeCell ref="B42:C42"/>
    <mergeCell ref="B43:C43"/>
    <mergeCell ref="B45:C45"/>
    <mergeCell ref="B46:C46"/>
    <mergeCell ref="B47:C47"/>
    <mergeCell ref="B48:C48"/>
    <mergeCell ref="B49:C49"/>
    <mergeCell ref="B51:C51"/>
    <mergeCell ref="B52:C52"/>
    <mergeCell ref="B53:C53"/>
    <mergeCell ref="B54:C54"/>
    <mergeCell ref="B55:C55"/>
    <mergeCell ref="B57:C57"/>
    <mergeCell ref="B58:C58"/>
    <mergeCell ref="B59:C59"/>
    <mergeCell ref="B60:C60"/>
    <mergeCell ref="B61:C61"/>
    <mergeCell ref="B62:C62"/>
    <mergeCell ref="B64:C64"/>
    <mergeCell ref="B65:C65"/>
    <mergeCell ref="B66:C66"/>
    <mergeCell ref="B67:C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N158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2" max="2" width="24" customWidth="1"/>
    <col min="3" max="3" width="26" customWidth="1"/>
    <col min="4" max="4" width="40" customWidth="1"/>
    <col min="5" max="5" width="13" customWidth="1"/>
    <col min="6" max="6" width="10" customWidth="1"/>
    <col min="7" max="7" width="14" customWidth="1"/>
    <col min="8" max="8" width="30" customWidth="1"/>
    <col min="9" max="9" width="38" customWidth="1"/>
    <col min="10" max="10" width="30" customWidth="1"/>
    <col min="11" max="11" width="42" customWidth="1"/>
    <col min="12" max="12" width="30" customWidth="1"/>
    <col min="13" max="13" width="12" customWidth="1"/>
    <col min="14" max="14" width="34" customWidth="1"/>
  </cols>
  <sheetData>
    <row r="1" ht="30" customHeight="1" spans="1:14" x14ac:dyDescent="0.25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72</v>
      </c>
      <c r="K1" s="7" t="s">
        <v>73</v>
      </c>
      <c r="L1" s="7" t="s">
        <v>74</v>
      </c>
      <c r="M1" s="7" t="s">
        <v>75</v>
      </c>
      <c r="N1" s="7" t="s">
        <v>76</v>
      </c>
    </row>
    <row r="2" spans="1:14" s="4" customFormat="1" x14ac:dyDescent="0.25">
      <c r="A2" s="8" t="s">
        <v>77</v>
      </c>
      <c r="B2" s="9" t="s">
        <v>78</v>
      </c>
      <c r="C2" s="9" t="s">
        <v>79</v>
      </c>
      <c r="D2" s="9" t="s">
        <v>80</v>
      </c>
      <c r="E2" s="10" t="s">
        <v>81</v>
      </c>
      <c r="F2" s="11" t="s">
        <v>82</v>
      </c>
      <c r="G2" s="10" t="s">
        <v>83</v>
      </c>
      <c r="H2" s="9" t="s">
        <v>84</v>
      </c>
      <c r="I2" s="9" t="s">
        <v>85</v>
      </c>
      <c r="J2" s="9" t="s">
        <v>86</v>
      </c>
      <c r="K2" s="9" t="s">
        <v>87</v>
      </c>
      <c r="L2" s="9" t="s">
        <v>88</v>
      </c>
      <c r="M2" s="10" t="s">
        <v>89</v>
      </c>
      <c r="N2" s="9" t="s">
        <v>90</v>
      </c>
    </row>
    <row r="3" spans="1:14" s="4" customFormat="1" x14ac:dyDescent="0.25">
      <c r="A3" s="12" t="s">
        <v>91</v>
      </c>
      <c r="B3" s="13" t="s">
        <v>78</v>
      </c>
      <c r="C3" s="13" t="s">
        <v>79</v>
      </c>
      <c r="D3" s="13" t="s">
        <v>92</v>
      </c>
      <c r="E3" s="14" t="s">
        <v>81</v>
      </c>
      <c r="F3" s="11" t="s">
        <v>82</v>
      </c>
      <c r="G3" s="14" t="s">
        <v>83</v>
      </c>
      <c r="H3" s="13" t="s">
        <v>93</v>
      </c>
      <c r="I3" s="13" t="s">
        <v>94</v>
      </c>
      <c r="J3" s="13" t="s">
        <v>95</v>
      </c>
      <c r="K3" s="13" t="s">
        <v>96</v>
      </c>
      <c r="L3" s="13" t="s">
        <v>97</v>
      </c>
      <c r="M3" s="14" t="s">
        <v>89</v>
      </c>
      <c r="N3" s="13" t="s">
        <v>90</v>
      </c>
    </row>
    <row r="4" spans="1:14" s="4" customFormat="1" x14ac:dyDescent="0.25">
      <c r="A4" s="8" t="s">
        <v>98</v>
      </c>
      <c r="B4" s="9" t="s">
        <v>78</v>
      </c>
      <c r="C4" s="9" t="s">
        <v>79</v>
      </c>
      <c r="D4" s="9" t="s">
        <v>99</v>
      </c>
      <c r="E4" s="10" t="s">
        <v>100</v>
      </c>
      <c r="F4" s="11" t="s">
        <v>82</v>
      </c>
      <c r="G4" s="10" t="s">
        <v>83</v>
      </c>
      <c r="H4" s="9" t="s">
        <v>101</v>
      </c>
      <c r="I4" s="9" t="s">
        <v>102</v>
      </c>
      <c r="J4" s="9" t="s">
        <v>103</v>
      </c>
      <c r="K4" s="9" t="s">
        <v>104</v>
      </c>
      <c r="L4" s="9" t="s">
        <v>105</v>
      </c>
      <c r="M4" s="10" t="s">
        <v>89</v>
      </c>
      <c r="N4" s="9" t="s">
        <v>90</v>
      </c>
    </row>
    <row r="5" spans="1:14" s="4" customFormat="1" x14ac:dyDescent="0.25">
      <c r="A5" s="12" t="s">
        <v>106</v>
      </c>
      <c r="B5" s="13" t="s">
        <v>78</v>
      </c>
      <c r="C5" s="13" t="s">
        <v>107</v>
      </c>
      <c r="D5" s="13" t="s">
        <v>108</v>
      </c>
      <c r="E5" s="14" t="s">
        <v>81</v>
      </c>
      <c r="F5" s="11" t="s">
        <v>82</v>
      </c>
      <c r="G5" s="14" t="s">
        <v>109</v>
      </c>
      <c r="H5" s="13" t="s">
        <v>110</v>
      </c>
      <c r="I5" s="13" t="s">
        <v>111</v>
      </c>
      <c r="J5" s="13" t="s">
        <v>112</v>
      </c>
      <c r="K5" s="13" t="s">
        <v>113</v>
      </c>
      <c r="L5" s="13" t="s">
        <v>88</v>
      </c>
      <c r="M5" s="14" t="s">
        <v>89</v>
      </c>
      <c r="N5" s="13" t="s">
        <v>90</v>
      </c>
    </row>
    <row r="6" spans="1:14" s="4" customFormat="1" x14ac:dyDescent="0.25">
      <c r="A6" s="8" t="s">
        <v>114</v>
      </c>
      <c r="B6" s="9" t="s">
        <v>78</v>
      </c>
      <c r="C6" s="9" t="s">
        <v>107</v>
      </c>
      <c r="D6" s="9" t="s">
        <v>115</v>
      </c>
      <c r="E6" s="10" t="s">
        <v>100</v>
      </c>
      <c r="F6" s="11" t="s">
        <v>82</v>
      </c>
      <c r="G6" s="10" t="s">
        <v>83</v>
      </c>
      <c r="H6" s="9" t="s">
        <v>116</v>
      </c>
      <c r="I6" s="9" t="s">
        <v>117</v>
      </c>
      <c r="J6" s="9" t="s">
        <v>118</v>
      </c>
      <c r="K6" s="9" t="s">
        <v>119</v>
      </c>
      <c r="L6" s="9" t="s">
        <v>97</v>
      </c>
      <c r="M6" s="10" t="s">
        <v>89</v>
      </c>
      <c r="N6" s="9" t="s">
        <v>90</v>
      </c>
    </row>
    <row r="7" spans="1:14" s="4" customFormat="1" x14ac:dyDescent="0.25">
      <c r="A7" s="12" t="s">
        <v>120</v>
      </c>
      <c r="B7" s="13" t="s">
        <v>78</v>
      </c>
      <c r="C7" s="13" t="s">
        <v>121</v>
      </c>
      <c r="D7" s="13" t="s">
        <v>122</v>
      </c>
      <c r="E7" s="14" t="s">
        <v>123</v>
      </c>
      <c r="F7" s="11" t="s">
        <v>82</v>
      </c>
      <c r="G7" s="14" t="s">
        <v>109</v>
      </c>
      <c r="H7" s="13" t="s">
        <v>124</v>
      </c>
      <c r="I7" s="13" t="s">
        <v>125</v>
      </c>
      <c r="J7" s="13" t="s">
        <v>126</v>
      </c>
      <c r="K7" s="13" t="s">
        <v>127</v>
      </c>
      <c r="L7" s="13" t="s">
        <v>88</v>
      </c>
      <c r="M7" s="14" t="s">
        <v>89</v>
      </c>
      <c r="N7" s="13" t="s">
        <v>90</v>
      </c>
    </row>
    <row r="8" spans="1:14" s="4" customFormat="1" x14ac:dyDescent="0.25">
      <c r="A8" s="8" t="s">
        <v>128</v>
      </c>
      <c r="B8" s="9" t="s">
        <v>78</v>
      </c>
      <c r="C8" s="9" t="s">
        <v>129</v>
      </c>
      <c r="D8" s="9" t="s">
        <v>130</v>
      </c>
      <c r="E8" s="10" t="s">
        <v>81</v>
      </c>
      <c r="F8" s="11" t="s">
        <v>82</v>
      </c>
      <c r="G8" s="10" t="s">
        <v>83</v>
      </c>
      <c r="H8" s="9" t="s">
        <v>131</v>
      </c>
      <c r="I8" s="9" t="s">
        <v>132</v>
      </c>
      <c r="J8" s="9" t="s">
        <v>133</v>
      </c>
      <c r="K8" s="9" t="s">
        <v>134</v>
      </c>
      <c r="L8" s="9" t="s">
        <v>135</v>
      </c>
      <c r="M8" s="10" t="s">
        <v>89</v>
      </c>
      <c r="N8" s="9" t="s">
        <v>90</v>
      </c>
    </row>
    <row r="9" spans="1:14" s="4" customFormat="1" x14ac:dyDescent="0.25">
      <c r="A9" s="12" t="s">
        <v>136</v>
      </c>
      <c r="B9" s="13" t="s">
        <v>78</v>
      </c>
      <c r="C9" s="13" t="s">
        <v>137</v>
      </c>
      <c r="D9" s="13" t="s">
        <v>138</v>
      </c>
      <c r="E9" s="14" t="s">
        <v>100</v>
      </c>
      <c r="F9" s="11" t="s">
        <v>82</v>
      </c>
      <c r="G9" s="14" t="s">
        <v>83</v>
      </c>
      <c r="H9" s="13" t="s">
        <v>139</v>
      </c>
      <c r="I9" s="13" t="s">
        <v>140</v>
      </c>
      <c r="J9" s="13" t="s">
        <v>141</v>
      </c>
      <c r="K9" s="13" t="s">
        <v>142</v>
      </c>
      <c r="L9" s="13" t="s">
        <v>135</v>
      </c>
      <c r="M9" s="14" t="s">
        <v>89</v>
      </c>
      <c r="N9" s="13" t="s">
        <v>90</v>
      </c>
    </row>
    <row r="10" spans="1:14" s="4" customFormat="1" x14ac:dyDescent="0.25">
      <c r="A10" s="8" t="s">
        <v>143</v>
      </c>
      <c r="B10" s="9" t="s">
        <v>78</v>
      </c>
      <c r="C10" s="9" t="s">
        <v>144</v>
      </c>
      <c r="D10" s="9" t="s">
        <v>145</v>
      </c>
      <c r="E10" s="10" t="s">
        <v>81</v>
      </c>
      <c r="F10" s="15" t="s">
        <v>146</v>
      </c>
      <c r="G10" s="10" t="s">
        <v>147</v>
      </c>
      <c r="H10" s="9" t="s">
        <v>148</v>
      </c>
      <c r="I10" s="9" t="s">
        <v>149</v>
      </c>
      <c r="J10" s="9" t="s">
        <v>150</v>
      </c>
      <c r="K10" s="9" t="s">
        <v>151</v>
      </c>
      <c r="L10" s="9" t="s">
        <v>105</v>
      </c>
      <c r="M10" s="10" t="s">
        <v>89</v>
      </c>
      <c r="N10" s="9" t="s">
        <v>90</v>
      </c>
    </row>
    <row r="11" spans="1:14" s="4" customFormat="1" x14ac:dyDescent="0.25">
      <c r="A11" s="12" t="s">
        <v>152</v>
      </c>
      <c r="B11" s="13" t="s">
        <v>78</v>
      </c>
      <c r="C11" s="13" t="s">
        <v>153</v>
      </c>
      <c r="D11" s="13" t="s">
        <v>154</v>
      </c>
      <c r="E11" s="14" t="s">
        <v>100</v>
      </c>
      <c r="F11" s="11" t="s">
        <v>82</v>
      </c>
      <c r="G11" s="14" t="s">
        <v>109</v>
      </c>
      <c r="H11" s="13" t="s">
        <v>155</v>
      </c>
      <c r="I11" s="13" t="s">
        <v>156</v>
      </c>
      <c r="J11" s="13" t="s">
        <v>157</v>
      </c>
      <c r="K11" s="13" t="s">
        <v>158</v>
      </c>
      <c r="L11" s="13" t="s">
        <v>135</v>
      </c>
      <c r="M11" s="14" t="s">
        <v>89</v>
      </c>
      <c r="N11" s="13" t="s">
        <v>90</v>
      </c>
    </row>
    <row r="12" spans="1:14" s="4" customFormat="1" x14ac:dyDescent="0.25">
      <c r="A12" s="8" t="s">
        <v>159</v>
      </c>
      <c r="B12" s="9" t="s">
        <v>160</v>
      </c>
      <c r="C12" s="9" t="s">
        <v>161</v>
      </c>
      <c r="D12" s="9" t="s">
        <v>162</v>
      </c>
      <c r="E12" s="10" t="s">
        <v>100</v>
      </c>
      <c r="F12" s="11" t="s">
        <v>82</v>
      </c>
      <c r="G12" s="10" t="s">
        <v>163</v>
      </c>
      <c r="H12" s="9" t="s">
        <v>164</v>
      </c>
      <c r="I12" s="9" t="s">
        <v>165</v>
      </c>
      <c r="J12" s="9" t="s">
        <v>166</v>
      </c>
      <c r="K12" s="9" t="s">
        <v>167</v>
      </c>
      <c r="L12" s="9" t="s">
        <v>135</v>
      </c>
      <c r="M12" s="10" t="s">
        <v>89</v>
      </c>
      <c r="N12" s="9" t="s">
        <v>90</v>
      </c>
    </row>
    <row r="13" spans="1:14" s="4" customFormat="1" x14ac:dyDescent="0.25">
      <c r="A13" s="12" t="s">
        <v>168</v>
      </c>
      <c r="B13" s="13" t="s">
        <v>160</v>
      </c>
      <c r="C13" s="13" t="s">
        <v>161</v>
      </c>
      <c r="D13" s="13" t="s">
        <v>169</v>
      </c>
      <c r="E13" s="14" t="s">
        <v>100</v>
      </c>
      <c r="F13" s="11" t="s">
        <v>82</v>
      </c>
      <c r="G13" s="14" t="s">
        <v>170</v>
      </c>
      <c r="H13" s="13" t="s">
        <v>171</v>
      </c>
      <c r="I13" s="13" t="s">
        <v>172</v>
      </c>
      <c r="J13" s="13" t="s">
        <v>166</v>
      </c>
      <c r="K13" s="13" t="s">
        <v>167</v>
      </c>
      <c r="L13" s="13" t="s">
        <v>135</v>
      </c>
      <c r="M13" s="14" t="s">
        <v>89</v>
      </c>
      <c r="N13" s="13" t="s">
        <v>90</v>
      </c>
    </row>
    <row r="14" spans="1:14" s="4" customFormat="1" x14ac:dyDescent="0.25">
      <c r="A14" s="8" t="s">
        <v>173</v>
      </c>
      <c r="B14" s="9" t="s">
        <v>160</v>
      </c>
      <c r="C14" s="9" t="s">
        <v>161</v>
      </c>
      <c r="D14" s="9" t="s">
        <v>174</v>
      </c>
      <c r="E14" s="10" t="s">
        <v>81</v>
      </c>
      <c r="F14" s="11" t="s">
        <v>82</v>
      </c>
      <c r="G14" s="10" t="s">
        <v>147</v>
      </c>
      <c r="H14" s="9" t="s">
        <v>175</v>
      </c>
      <c r="I14" s="9" t="s">
        <v>176</v>
      </c>
      <c r="J14" s="9" t="s">
        <v>177</v>
      </c>
      <c r="K14" s="9" t="s">
        <v>178</v>
      </c>
      <c r="L14" s="9" t="s">
        <v>135</v>
      </c>
      <c r="M14" s="10" t="s">
        <v>89</v>
      </c>
      <c r="N14" s="9" t="s">
        <v>90</v>
      </c>
    </row>
    <row r="15" spans="1:14" s="4" customFormat="1" x14ac:dyDescent="0.25">
      <c r="A15" s="12" t="s">
        <v>179</v>
      </c>
      <c r="B15" s="13" t="s">
        <v>160</v>
      </c>
      <c r="C15" s="13" t="s">
        <v>180</v>
      </c>
      <c r="D15" s="13" t="s">
        <v>181</v>
      </c>
      <c r="E15" s="14" t="s">
        <v>100</v>
      </c>
      <c r="F15" s="11" t="s">
        <v>82</v>
      </c>
      <c r="G15" s="14" t="s">
        <v>163</v>
      </c>
      <c r="H15" s="13" t="s">
        <v>164</v>
      </c>
      <c r="I15" s="13" t="s">
        <v>182</v>
      </c>
      <c r="J15" s="13" t="s">
        <v>183</v>
      </c>
      <c r="K15" s="13" t="s">
        <v>184</v>
      </c>
      <c r="L15" s="13" t="s">
        <v>135</v>
      </c>
      <c r="M15" s="14" t="s">
        <v>89</v>
      </c>
      <c r="N15" s="13" t="s">
        <v>90</v>
      </c>
    </row>
    <row r="16" spans="1:14" s="4" customFormat="1" x14ac:dyDescent="0.25">
      <c r="A16" s="8" t="s">
        <v>185</v>
      </c>
      <c r="B16" s="9" t="s">
        <v>160</v>
      </c>
      <c r="C16" s="9" t="s">
        <v>180</v>
      </c>
      <c r="D16" s="9" t="s">
        <v>186</v>
      </c>
      <c r="E16" s="10" t="s">
        <v>100</v>
      </c>
      <c r="F16" s="11" t="s">
        <v>82</v>
      </c>
      <c r="G16" s="10" t="s">
        <v>170</v>
      </c>
      <c r="H16" s="9" t="s">
        <v>171</v>
      </c>
      <c r="I16" s="9" t="s">
        <v>187</v>
      </c>
      <c r="J16" s="9" t="s">
        <v>183</v>
      </c>
      <c r="K16" s="9" t="s">
        <v>184</v>
      </c>
      <c r="L16" s="9" t="s">
        <v>135</v>
      </c>
      <c r="M16" s="10" t="s">
        <v>89</v>
      </c>
      <c r="N16" s="9" t="s">
        <v>90</v>
      </c>
    </row>
    <row r="17" spans="1:14" s="4" customFormat="1" x14ac:dyDescent="0.25">
      <c r="A17" s="12" t="s">
        <v>188</v>
      </c>
      <c r="B17" s="13" t="s">
        <v>160</v>
      </c>
      <c r="C17" s="13" t="s">
        <v>180</v>
      </c>
      <c r="D17" s="13" t="s">
        <v>189</v>
      </c>
      <c r="E17" s="14" t="s">
        <v>81</v>
      </c>
      <c r="F17" s="11" t="s">
        <v>82</v>
      </c>
      <c r="G17" s="14" t="s">
        <v>147</v>
      </c>
      <c r="H17" s="13" t="s">
        <v>190</v>
      </c>
      <c r="I17" s="13" t="s">
        <v>191</v>
      </c>
      <c r="J17" s="13" t="s">
        <v>183</v>
      </c>
      <c r="K17" s="13" t="s">
        <v>192</v>
      </c>
      <c r="L17" s="13" t="s">
        <v>135</v>
      </c>
      <c r="M17" s="14" t="s">
        <v>89</v>
      </c>
      <c r="N17" s="13" t="s">
        <v>90</v>
      </c>
    </row>
    <row r="18" spans="1:14" s="4" customFormat="1" x14ac:dyDescent="0.25">
      <c r="A18" s="8" t="s">
        <v>193</v>
      </c>
      <c r="B18" s="9" t="s">
        <v>160</v>
      </c>
      <c r="C18" s="9" t="s">
        <v>194</v>
      </c>
      <c r="D18" s="9" t="s">
        <v>195</v>
      </c>
      <c r="E18" s="10" t="s">
        <v>81</v>
      </c>
      <c r="F18" s="15" t="s">
        <v>146</v>
      </c>
      <c r="G18" s="10" t="s">
        <v>109</v>
      </c>
      <c r="H18" s="9" t="s">
        <v>196</v>
      </c>
      <c r="I18" s="9" t="s">
        <v>197</v>
      </c>
      <c r="J18" s="9" t="s">
        <v>183</v>
      </c>
      <c r="K18" s="9" t="s">
        <v>198</v>
      </c>
      <c r="L18" s="9" t="s">
        <v>135</v>
      </c>
      <c r="M18" s="10" t="s">
        <v>89</v>
      </c>
      <c r="N18" s="9" t="s">
        <v>90</v>
      </c>
    </row>
    <row r="19" spans="1:14" s="4" customFormat="1" x14ac:dyDescent="0.25">
      <c r="A19" s="12" t="s">
        <v>199</v>
      </c>
      <c r="B19" s="13" t="s">
        <v>160</v>
      </c>
      <c r="C19" s="13" t="s">
        <v>200</v>
      </c>
      <c r="D19" s="13" t="s">
        <v>201</v>
      </c>
      <c r="E19" s="14" t="s">
        <v>100</v>
      </c>
      <c r="F19" s="11" t="s">
        <v>82</v>
      </c>
      <c r="G19" s="14" t="s">
        <v>170</v>
      </c>
      <c r="H19" s="13" t="s">
        <v>202</v>
      </c>
      <c r="I19" s="13" t="s">
        <v>203</v>
      </c>
      <c r="J19" s="13" t="s">
        <v>183</v>
      </c>
      <c r="K19" s="13" t="s">
        <v>204</v>
      </c>
      <c r="L19" s="13" t="s">
        <v>135</v>
      </c>
      <c r="M19" s="14" t="s">
        <v>89</v>
      </c>
      <c r="N19" s="13" t="s">
        <v>90</v>
      </c>
    </row>
    <row r="20" spans="1:14" s="4" customFormat="1" x14ac:dyDescent="0.25">
      <c r="A20" s="8" t="s">
        <v>205</v>
      </c>
      <c r="B20" s="9" t="s">
        <v>160</v>
      </c>
      <c r="C20" s="9" t="s">
        <v>206</v>
      </c>
      <c r="D20" s="9" t="s">
        <v>207</v>
      </c>
      <c r="E20" s="10" t="s">
        <v>100</v>
      </c>
      <c r="F20" s="11" t="s">
        <v>82</v>
      </c>
      <c r="G20" s="10" t="s">
        <v>147</v>
      </c>
      <c r="H20" s="9" t="s">
        <v>208</v>
      </c>
      <c r="I20" s="9" t="s">
        <v>209</v>
      </c>
      <c r="J20" s="9" t="s">
        <v>210</v>
      </c>
      <c r="K20" s="9" t="s">
        <v>211</v>
      </c>
      <c r="L20" s="9" t="s">
        <v>135</v>
      </c>
      <c r="M20" s="10" t="s">
        <v>89</v>
      </c>
      <c r="N20" s="9" t="s">
        <v>90</v>
      </c>
    </row>
    <row r="21" spans="1:14" s="4" customFormat="1" x14ac:dyDescent="0.25">
      <c r="A21" s="12" t="s">
        <v>212</v>
      </c>
      <c r="B21" s="13" t="s">
        <v>160</v>
      </c>
      <c r="C21" s="13" t="s">
        <v>213</v>
      </c>
      <c r="D21" s="13" t="s">
        <v>214</v>
      </c>
      <c r="E21" s="14" t="s">
        <v>100</v>
      </c>
      <c r="F21" s="11" t="s">
        <v>82</v>
      </c>
      <c r="G21" s="14" t="s">
        <v>163</v>
      </c>
      <c r="H21" s="13" t="s">
        <v>215</v>
      </c>
      <c r="I21" s="13" t="s">
        <v>216</v>
      </c>
      <c r="J21" s="13" t="s">
        <v>183</v>
      </c>
      <c r="K21" s="13" t="s">
        <v>217</v>
      </c>
      <c r="L21" s="13" t="s">
        <v>135</v>
      </c>
      <c r="M21" s="14" t="s">
        <v>89</v>
      </c>
      <c r="N21" s="13" t="s">
        <v>218</v>
      </c>
    </row>
    <row r="22" spans="1:14" s="4" customFormat="1" x14ac:dyDescent="0.25">
      <c r="A22" s="8" t="s">
        <v>219</v>
      </c>
      <c r="B22" s="9" t="s">
        <v>160</v>
      </c>
      <c r="C22" s="9" t="s">
        <v>220</v>
      </c>
      <c r="D22" s="9" t="s">
        <v>221</v>
      </c>
      <c r="E22" s="10" t="s">
        <v>100</v>
      </c>
      <c r="F22" s="11" t="s">
        <v>82</v>
      </c>
      <c r="G22" s="10" t="s">
        <v>163</v>
      </c>
      <c r="H22" s="9" t="s">
        <v>222</v>
      </c>
      <c r="I22" s="9" t="s">
        <v>223</v>
      </c>
      <c r="J22" s="9" t="s">
        <v>224</v>
      </c>
      <c r="K22" s="9" t="s">
        <v>225</v>
      </c>
      <c r="L22" s="9" t="s">
        <v>135</v>
      </c>
      <c r="M22" s="10" t="s">
        <v>89</v>
      </c>
      <c r="N22" s="9" t="s">
        <v>218</v>
      </c>
    </row>
    <row r="23" spans="1:14" s="4" customFormat="1" x14ac:dyDescent="0.25">
      <c r="A23" s="12" t="s">
        <v>226</v>
      </c>
      <c r="B23" s="13" t="s">
        <v>160</v>
      </c>
      <c r="C23" s="13" t="s">
        <v>220</v>
      </c>
      <c r="D23" s="13" t="s">
        <v>227</v>
      </c>
      <c r="E23" s="14" t="s">
        <v>81</v>
      </c>
      <c r="F23" s="15" t="s">
        <v>146</v>
      </c>
      <c r="G23" s="14" t="s">
        <v>170</v>
      </c>
      <c r="H23" s="13" t="s">
        <v>228</v>
      </c>
      <c r="I23" s="13" t="s">
        <v>229</v>
      </c>
      <c r="J23" s="13" t="s">
        <v>230</v>
      </c>
      <c r="K23" s="13" t="s">
        <v>231</v>
      </c>
      <c r="L23" s="13" t="s">
        <v>135</v>
      </c>
      <c r="M23" s="14" t="s">
        <v>89</v>
      </c>
      <c r="N23" s="13" t="s">
        <v>218</v>
      </c>
    </row>
    <row r="24" spans="1:14" s="4" customFormat="1" x14ac:dyDescent="0.25">
      <c r="A24" s="8" t="s">
        <v>232</v>
      </c>
      <c r="B24" s="9" t="s">
        <v>160</v>
      </c>
      <c r="C24" s="9" t="s">
        <v>233</v>
      </c>
      <c r="D24" s="9" t="s">
        <v>234</v>
      </c>
      <c r="E24" s="10" t="s">
        <v>100</v>
      </c>
      <c r="F24" s="11" t="s">
        <v>82</v>
      </c>
      <c r="G24" s="10" t="s">
        <v>163</v>
      </c>
      <c r="H24" s="9" t="s">
        <v>235</v>
      </c>
      <c r="I24" s="9" t="s">
        <v>236</v>
      </c>
      <c r="J24" s="9" t="s">
        <v>237</v>
      </c>
      <c r="K24" s="9" t="s">
        <v>238</v>
      </c>
      <c r="L24" s="9" t="s">
        <v>135</v>
      </c>
      <c r="M24" s="10" t="s">
        <v>89</v>
      </c>
      <c r="N24" s="9" t="s">
        <v>239</v>
      </c>
    </row>
    <row r="25" spans="1:14" s="4" customFormat="1" x14ac:dyDescent="0.25">
      <c r="A25" s="12" t="s">
        <v>240</v>
      </c>
      <c r="B25" s="13" t="s">
        <v>160</v>
      </c>
      <c r="C25" s="13" t="s">
        <v>241</v>
      </c>
      <c r="D25" s="13" t="s">
        <v>242</v>
      </c>
      <c r="E25" s="14" t="s">
        <v>100</v>
      </c>
      <c r="F25" s="11" t="s">
        <v>82</v>
      </c>
      <c r="G25" s="14" t="s">
        <v>163</v>
      </c>
      <c r="H25" s="13" t="s">
        <v>243</v>
      </c>
      <c r="I25" s="13" t="s">
        <v>244</v>
      </c>
      <c r="J25" s="13" t="s">
        <v>245</v>
      </c>
      <c r="K25" s="13" t="s">
        <v>246</v>
      </c>
      <c r="L25" s="13" t="s">
        <v>247</v>
      </c>
      <c r="M25" s="14" t="s">
        <v>89</v>
      </c>
      <c r="N25" s="13" t="s">
        <v>90</v>
      </c>
    </row>
    <row r="26" spans="1:14" s="4" customFormat="1" x14ac:dyDescent="0.25">
      <c r="A26" s="8" t="s">
        <v>248</v>
      </c>
      <c r="B26" s="9" t="s">
        <v>249</v>
      </c>
      <c r="C26" s="9" t="s">
        <v>250</v>
      </c>
      <c r="D26" s="9" t="s">
        <v>251</v>
      </c>
      <c r="E26" s="10" t="s">
        <v>81</v>
      </c>
      <c r="F26" s="15" t="s">
        <v>146</v>
      </c>
      <c r="G26" s="10" t="s">
        <v>147</v>
      </c>
      <c r="H26" s="9" t="s">
        <v>252</v>
      </c>
      <c r="I26" s="9" t="s">
        <v>253</v>
      </c>
      <c r="J26" s="9" t="s">
        <v>254</v>
      </c>
      <c r="K26" s="9" t="s">
        <v>255</v>
      </c>
      <c r="L26" s="9" t="s">
        <v>88</v>
      </c>
      <c r="M26" s="10" t="s">
        <v>89</v>
      </c>
      <c r="N26" s="9" t="s">
        <v>90</v>
      </c>
    </row>
    <row r="27" spans="1:14" s="4" customFormat="1" x14ac:dyDescent="0.25">
      <c r="A27" s="12" t="s">
        <v>256</v>
      </c>
      <c r="B27" s="13" t="s">
        <v>249</v>
      </c>
      <c r="C27" s="13" t="s">
        <v>257</v>
      </c>
      <c r="D27" s="13" t="s">
        <v>258</v>
      </c>
      <c r="E27" s="14" t="s">
        <v>81</v>
      </c>
      <c r="F27" s="15" t="s">
        <v>146</v>
      </c>
      <c r="G27" s="14" t="s">
        <v>147</v>
      </c>
      <c r="H27" s="13" t="s">
        <v>259</v>
      </c>
      <c r="I27" s="13" t="s">
        <v>260</v>
      </c>
      <c r="J27" s="13" t="s">
        <v>261</v>
      </c>
      <c r="K27" s="13" t="s">
        <v>262</v>
      </c>
      <c r="L27" s="13" t="s">
        <v>105</v>
      </c>
      <c r="M27" s="14" t="s">
        <v>89</v>
      </c>
      <c r="N27" s="13" t="s">
        <v>263</v>
      </c>
    </row>
    <row r="28" spans="1:14" s="4" customFormat="1" x14ac:dyDescent="0.25">
      <c r="A28" s="8" t="s">
        <v>264</v>
      </c>
      <c r="B28" s="9" t="s">
        <v>249</v>
      </c>
      <c r="C28" s="9" t="s">
        <v>250</v>
      </c>
      <c r="D28" s="9" t="s">
        <v>265</v>
      </c>
      <c r="E28" s="10" t="s">
        <v>123</v>
      </c>
      <c r="F28" s="15" t="s">
        <v>146</v>
      </c>
      <c r="G28" s="10" t="s">
        <v>147</v>
      </c>
      <c r="H28" s="9" t="s">
        <v>266</v>
      </c>
      <c r="I28" s="9" t="s">
        <v>267</v>
      </c>
      <c r="J28" s="9" t="s">
        <v>268</v>
      </c>
      <c r="K28" s="9" t="s">
        <v>269</v>
      </c>
      <c r="L28" s="9" t="s">
        <v>88</v>
      </c>
      <c r="M28" s="10" t="s">
        <v>89</v>
      </c>
      <c r="N28" s="9" t="s">
        <v>90</v>
      </c>
    </row>
    <row r="29" spans="1:14" s="4" customFormat="1" x14ac:dyDescent="0.25">
      <c r="A29" s="12" t="s">
        <v>270</v>
      </c>
      <c r="B29" s="13" t="s">
        <v>271</v>
      </c>
      <c r="C29" s="13" t="s">
        <v>272</v>
      </c>
      <c r="D29" s="13" t="s">
        <v>273</v>
      </c>
      <c r="E29" s="14" t="s">
        <v>81</v>
      </c>
      <c r="F29" s="15" t="s">
        <v>146</v>
      </c>
      <c r="G29" s="14" t="s">
        <v>83</v>
      </c>
      <c r="H29" s="13" t="s">
        <v>274</v>
      </c>
      <c r="I29" s="13" t="s">
        <v>275</v>
      </c>
      <c r="J29" s="13" t="s">
        <v>183</v>
      </c>
      <c r="K29" s="13" t="s">
        <v>276</v>
      </c>
      <c r="L29" s="13" t="s">
        <v>105</v>
      </c>
      <c r="M29" s="14" t="s">
        <v>89</v>
      </c>
      <c r="N29" s="13" t="s">
        <v>90</v>
      </c>
    </row>
    <row r="30" spans="1:14" s="4" customFormat="1" x14ac:dyDescent="0.25">
      <c r="A30" s="8" t="s">
        <v>277</v>
      </c>
      <c r="B30" s="9" t="s">
        <v>271</v>
      </c>
      <c r="C30" s="9" t="s">
        <v>241</v>
      </c>
      <c r="D30" s="9" t="s">
        <v>278</v>
      </c>
      <c r="E30" s="10" t="s">
        <v>81</v>
      </c>
      <c r="F30" s="11" t="s">
        <v>82</v>
      </c>
      <c r="G30" s="10" t="s">
        <v>147</v>
      </c>
      <c r="H30" s="9" t="s">
        <v>279</v>
      </c>
      <c r="I30" s="9" t="s">
        <v>280</v>
      </c>
      <c r="J30" s="9" t="s">
        <v>281</v>
      </c>
      <c r="K30" s="9" t="s">
        <v>282</v>
      </c>
      <c r="L30" s="9" t="s">
        <v>105</v>
      </c>
      <c r="M30" s="10" t="s">
        <v>89</v>
      </c>
      <c r="N30" s="9" t="s">
        <v>90</v>
      </c>
    </row>
    <row r="31" spans="1:14" s="4" customFormat="1" x14ac:dyDescent="0.25">
      <c r="A31" s="12" t="s">
        <v>283</v>
      </c>
      <c r="B31" s="13" t="s">
        <v>271</v>
      </c>
      <c r="C31" s="13" t="s">
        <v>241</v>
      </c>
      <c r="D31" s="13" t="s">
        <v>284</v>
      </c>
      <c r="E31" s="14" t="s">
        <v>81</v>
      </c>
      <c r="F31" s="11" t="s">
        <v>82</v>
      </c>
      <c r="G31" s="14" t="s">
        <v>147</v>
      </c>
      <c r="H31" s="13" t="s">
        <v>279</v>
      </c>
      <c r="I31" s="13" t="s">
        <v>285</v>
      </c>
      <c r="J31" s="13" t="s">
        <v>286</v>
      </c>
      <c r="K31" s="13" t="s">
        <v>287</v>
      </c>
      <c r="L31" s="13" t="s">
        <v>247</v>
      </c>
      <c r="M31" s="14" t="s">
        <v>89</v>
      </c>
      <c r="N31" s="13" t="s">
        <v>90</v>
      </c>
    </row>
    <row r="32" spans="1:14" s="4" customFormat="1" x14ac:dyDescent="0.25">
      <c r="A32" s="8" t="s">
        <v>288</v>
      </c>
      <c r="B32" s="9" t="s">
        <v>271</v>
      </c>
      <c r="C32" s="9" t="s">
        <v>289</v>
      </c>
      <c r="D32" s="9" t="s">
        <v>290</v>
      </c>
      <c r="E32" s="10" t="s">
        <v>81</v>
      </c>
      <c r="F32" s="15" t="s">
        <v>146</v>
      </c>
      <c r="G32" s="10" t="s">
        <v>147</v>
      </c>
      <c r="H32" s="9" t="s">
        <v>291</v>
      </c>
      <c r="I32" s="9" t="s">
        <v>292</v>
      </c>
      <c r="J32" s="9" t="s">
        <v>293</v>
      </c>
      <c r="K32" s="9" t="s">
        <v>294</v>
      </c>
      <c r="L32" s="9" t="s">
        <v>247</v>
      </c>
      <c r="M32" s="10" t="s">
        <v>89</v>
      </c>
      <c r="N32" s="9" t="s">
        <v>90</v>
      </c>
    </row>
    <row r="33" spans="1:14" s="4" customFormat="1" x14ac:dyDescent="0.25">
      <c r="A33" s="12" t="s">
        <v>295</v>
      </c>
      <c r="B33" s="13" t="s">
        <v>271</v>
      </c>
      <c r="C33" s="13" t="s">
        <v>296</v>
      </c>
      <c r="D33" s="13" t="s">
        <v>297</v>
      </c>
      <c r="E33" s="14" t="s">
        <v>81</v>
      </c>
      <c r="F33" s="11" t="s">
        <v>82</v>
      </c>
      <c r="G33" s="14" t="s">
        <v>147</v>
      </c>
      <c r="H33" s="13" t="s">
        <v>298</v>
      </c>
      <c r="I33" s="13" t="s">
        <v>299</v>
      </c>
      <c r="J33" s="13" t="s">
        <v>300</v>
      </c>
      <c r="K33" s="13" t="s">
        <v>301</v>
      </c>
      <c r="L33" s="13" t="s">
        <v>105</v>
      </c>
      <c r="M33" s="14" t="s">
        <v>89</v>
      </c>
      <c r="N33" s="13" t="s">
        <v>90</v>
      </c>
    </row>
    <row r="34" spans="1:14" s="4" customFormat="1" x14ac:dyDescent="0.25">
      <c r="A34" s="8" t="s">
        <v>302</v>
      </c>
      <c r="B34" s="9" t="s">
        <v>271</v>
      </c>
      <c r="C34" s="9" t="s">
        <v>303</v>
      </c>
      <c r="D34" s="9" t="s">
        <v>304</v>
      </c>
      <c r="E34" s="10" t="s">
        <v>123</v>
      </c>
      <c r="F34" s="11" t="s">
        <v>82</v>
      </c>
      <c r="G34" s="10" t="s">
        <v>147</v>
      </c>
      <c r="H34" s="9" t="s">
        <v>305</v>
      </c>
      <c r="I34" s="9" t="s">
        <v>306</v>
      </c>
      <c r="J34" s="9" t="s">
        <v>307</v>
      </c>
      <c r="K34" s="9" t="s">
        <v>308</v>
      </c>
      <c r="L34" s="9" t="s">
        <v>309</v>
      </c>
      <c r="M34" s="10" t="s">
        <v>89</v>
      </c>
      <c r="N34" s="9" t="s">
        <v>90</v>
      </c>
    </row>
    <row r="35" spans="1:14" s="4" customFormat="1" x14ac:dyDescent="0.25">
      <c r="A35" s="12" t="s">
        <v>310</v>
      </c>
      <c r="B35" s="13" t="s">
        <v>271</v>
      </c>
      <c r="C35" s="13" t="s">
        <v>311</v>
      </c>
      <c r="D35" s="13" t="s">
        <v>312</v>
      </c>
      <c r="E35" s="14" t="s">
        <v>81</v>
      </c>
      <c r="F35" s="15" t="s">
        <v>146</v>
      </c>
      <c r="G35" s="14" t="s">
        <v>147</v>
      </c>
      <c r="H35" s="13" t="s">
        <v>313</v>
      </c>
      <c r="I35" s="13" t="s">
        <v>314</v>
      </c>
      <c r="J35" s="13" t="s">
        <v>315</v>
      </c>
      <c r="K35" s="13" t="s">
        <v>316</v>
      </c>
      <c r="L35" s="13" t="s">
        <v>247</v>
      </c>
      <c r="M35" s="14" t="s">
        <v>89</v>
      </c>
      <c r="N35" s="13" t="s">
        <v>90</v>
      </c>
    </row>
    <row r="36" spans="1:14" s="4" customFormat="1" x14ac:dyDescent="0.25">
      <c r="A36" s="8" t="s">
        <v>317</v>
      </c>
      <c r="B36" s="9" t="s">
        <v>271</v>
      </c>
      <c r="C36" s="9" t="s">
        <v>318</v>
      </c>
      <c r="D36" s="9" t="s">
        <v>319</v>
      </c>
      <c r="E36" s="10" t="s">
        <v>100</v>
      </c>
      <c r="F36" s="15" t="s">
        <v>146</v>
      </c>
      <c r="G36" s="10" t="s">
        <v>147</v>
      </c>
      <c r="H36" s="9" t="s">
        <v>320</v>
      </c>
      <c r="I36" s="9" t="s">
        <v>321</v>
      </c>
      <c r="J36" s="9" t="s">
        <v>322</v>
      </c>
      <c r="K36" s="9" t="s">
        <v>323</v>
      </c>
      <c r="L36" s="9" t="s">
        <v>105</v>
      </c>
      <c r="M36" s="10" t="s">
        <v>89</v>
      </c>
      <c r="N36" s="9" t="s">
        <v>90</v>
      </c>
    </row>
    <row r="37" spans="1:14" s="4" customFormat="1" x14ac:dyDescent="0.25">
      <c r="A37" s="12" t="s">
        <v>324</v>
      </c>
      <c r="B37" s="13" t="s">
        <v>271</v>
      </c>
      <c r="C37" s="13" t="s">
        <v>325</v>
      </c>
      <c r="D37" s="13" t="s">
        <v>326</v>
      </c>
      <c r="E37" s="14" t="s">
        <v>81</v>
      </c>
      <c r="F37" s="16" t="s">
        <v>327</v>
      </c>
      <c r="G37" s="14" t="s">
        <v>147</v>
      </c>
      <c r="H37" s="13" t="s">
        <v>328</v>
      </c>
      <c r="I37" s="13" t="s">
        <v>329</v>
      </c>
      <c r="J37" s="13" t="s">
        <v>183</v>
      </c>
      <c r="K37" s="13" t="s">
        <v>330</v>
      </c>
      <c r="L37" s="13" t="s">
        <v>105</v>
      </c>
      <c r="M37" s="14" t="s">
        <v>89</v>
      </c>
      <c r="N37" s="13" t="s">
        <v>90</v>
      </c>
    </row>
    <row r="38" spans="1:14" s="4" customFormat="1" x14ac:dyDescent="0.25">
      <c r="A38" s="8" t="s">
        <v>331</v>
      </c>
      <c r="B38" s="9" t="s">
        <v>271</v>
      </c>
      <c r="C38" s="9" t="s">
        <v>303</v>
      </c>
      <c r="D38" s="9" t="s">
        <v>332</v>
      </c>
      <c r="E38" s="10" t="s">
        <v>81</v>
      </c>
      <c r="F38" s="15" t="s">
        <v>146</v>
      </c>
      <c r="G38" s="10" t="s">
        <v>147</v>
      </c>
      <c r="H38" s="9" t="s">
        <v>333</v>
      </c>
      <c r="I38" s="9" t="s">
        <v>334</v>
      </c>
      <c r="J38" s="9" t="s">
        <v>335</v>
      </c>
      <c r="K38" s="9" t="s">
        <v>336</v>
      </c>
      <c r="L38" s="9" t="s">
        <v>247</v>
      </c>
      <c r="M38" s="10" t="s">
        <v>89</v>
      </c>
      <c r="N38" s="9" t="s">
        <v>90</v>
      </c>
    </row>
    <row r="39" spans="1:14" s="4" customFormat="1" x14ac:dyDescent="0.25">
      <c r="A39" s="12" t="s">
        <v>337</v>
      </c>
      <c r="B39" s="13" t="s">
        <v>338</v>
      </c>
      <c r="C39" s="13" t="s">
        <v>339</v>
      </c>
      <c r="D39" s="13" t="s">
        <v>340</v>
      </c>
      <c r="E39" s="14" t="s">
        <v>81</v>
      </c>
      <c r="F39" s="15" t="s">
        <v>146</v>
      </c>
      <c r="G39" s="14" t="s">
        <v>83</v>
      </c>
      <c r="H39" s="13" t="s">
        <v>341</v>
      </c>
      <c r="I39" s="13" t="s">
        <v>342</v>
      </c>
      <c r="J39" s="13" t="s">
        <v>183</v>
      </c>
      <c r="K39" s="13" t="s">
        <v>343</v>
      </c>
      <c r="L39" s="13" t="s">
        <v>105</v>
      </c>
      <c r="M39" s="14" t="s">
        <v>89</v>
      </c>
      <c r="N39" s="13" t="s">
        <v>90</v>
      </c>
    </row>
    <row r="40" spans="1:14" s="4" customFormat="1" x14ac:dyDescent="0.25">
      <c r="A40" s="8" t="s">
        <v>344</v>
      </c>
      <c r="B40" s="9" t="s">
        <v>338</v>
      </c>
      <c r="C40" s="9" t="s">
        <v>345</v>
      </c>
      <c r="D40" s="9" t="s">
        <v>346</v>
      </c>
      <c r="E40" s="10" t="s">
        <v>81</v>
      </c>
      <c r="F40" s="11" t="s">
        <v>82</v>
      </c>
      <c r="G40" s="10" t="s">
        <v>147</v>
      </c>
      <c r="H40" s="9" t="s">
        <v>347</v>
      </c>
      <c r="I40" s="9" t="s">
        <v>348</v>
      </c>
      <c r="J40" s="9" t="s">
        <v>349</v>
      </c>
      <c r="K40" s="9" t="s">
        <v>350</v>
      </c>
      <c r="L40" s="9" t="s">
        <v>105</v>
      </c>
      <c r="M40" s="10" t="s">
        <v>89</v>
      </c>
      <c r="N40" s="9" t="s">
        <v>351</v>
      </c>
    </row>
    <row r="41" spans="1:14" s="4" customFormat="1" x14ac:dyDescent="0.25">
      <c r="A41" s="12" t="s">
        <v>352</v>
      </c>
      <c r="B41" s="13" t="s">
        <v>338</v>
      </c>
      <c r="C41" s="13" t="s">
        <v>206</v>
      </c>
      <c r="D41" s="13" t="s">
        <v>353</v>
      </c>
      <c r="E41" s="14" t="s">
        <v>81</v>
      </c>
      <c r="F41" s="11" t="s">
        <v>82</v>
      </c>
      <c r="G41" s="14" t="s">
        <v>147</v>
      </c>
      <c r="H41" s="13" t="s">
        <v>354</v>
      </c>
      <c r="I41" s="13" t="s">
        <v>355</v>
      </c>
      <c r="J41" s="13" t="s">
        <v>356</v>
      </c>
      <c r="K41" s="13" t="s">
        <v>357</v>
      </c>
      <c r="L41" s="13" t="s">
        <v>358</v>
      </c>
      <c r="M41" s="14" t="s">
        <v>89</v>
      </c>
      <c r="N41" s="13" t="s">
        <v>90</v>
      </c>
    </row>
    <row r="42" spans="1:14" s="4" customFormat="1" x14ac:dyDescent="0.25">
      <c r="A42" s="8" t="s">
        <v>359</v>
      </c>
      <c r="B42" s="9" t="s">
        <v>338</v>
      </c>
      <c r="C42" s="9" t="s">
        <v>206</v>
      </c>
      <c r="D42" s="9" t="s">
        <v>360</v>
      </c>
      <c r="E42" s="10" t="s">
        <v>81</v>
      </c>
      <c r="F42" s="11" t="s">
        <v>82</v>
      </c>
      <c r="G42" s="10" t="s">
        <v>147</v>
      </c>
      <c r="H42" s="9" t="s">
        <v>361</v>
      </c>
      <c r="I42" s="9" t="s">
        <v>362</v>
      </c>
      <c r="J42" s="9" t="s">
        <v>363</v>
      </c>
      <c r="K42" s="9" t="s">
        <v>364</v>
      </c>
      <c r="L42" s="9" t="s">
        <v>358</v>
      </c>
      <c r="M42" s="10" t="s">
        <v>89</v>
      </c>
      <c r="N42" s="9" t="s">
        <v>90</v>
      </c>
    </row>
    <row r="43" spans="1:14" s="4" customFormat="1" x14ac:dyDescent="0.25">
      <c r="A43" s="12" t="s">
        <v>365</v>
      </c>
      <c r="B43" s="13" t="s">
        <v>338</v>
      </c>
      <c r="C43" s="13" t="s">
        <v>206</v>
      </c>
      <c r="D43" s="13" t="s">
        <v>366</v>
      </c>
      <c r="E43" s="14" t="s">
        <v>100</v>
      </c>
      <c r="F43" s="11" t="s">
        <v>82</v>
      </c>
      <c r="G43" s="14" t="s">
        <v>147</v>
      </c>
      <c r="H43" s="13" t="s">
        <v>354</v>
      </c>
      <c r="I43" s="13" t="s">
        <v>367</v>
      </c>
      <c r="J43" s="13" t="s">
        <v>368</v>
      </c>
      <c r="K43" s="13" t="s">
        <v>369</v>
      </c>
      <c r="L43" s="13" t="s">
        <v>358</v>
      </c>
      <c r="M43" s="14" t="s">
        <v>89</v>
      </c>
      <c r="N43" s="13" t="s">
        <v>90</v>
      </c>
    </row>
    <row r="44" spans="1:14" s="4" customFormat="1" x14ac:dyDescent="0.25">
      <c r="A44" s="8" t="s">
        <v>370</v>
      </c>
      <c r="B44" s="9" t="s">
        <v>338</v>
      </c>
      <c r="C44" s="9" t="s">
        <v>371</v>
      </c>
      <c r="D44" s="9" t="s">
        <v>372</v>
      </c>
      <c r="E44" s="10" t="s">
        <v>123</v>
      </c>
      <c r="F44" s="11" t="s">
        <v>82</v>
      </c>
      <c r="G44" s="10" t="s">
        <v>147</v>
      </c>
      <c r="H44" s="9" t="s">
        <v>373</v>
      </c>
      <c r="I44" s="9" t="s">
        <v>374</v>
      </c>
      <c r="J44" s="9" t="s">
        <v>375</v>
      </c>
      <c r="K44" s="9" t="s">
        <v>376</v>
      </c>
      <c r="L44" s="9" t="s">
        <v>105</v>
      </c>
      <c r="M44" s="10" t="s">
        <v>89</v>
      </c>
      <c r="N44" s="9" t="s">
        <v>377</v>
      </c>
    </row>
    <row r="45" spans="1:14" s="4" customFormat="1" x14ac:dyDescent="0.25">
      <c r="A45" s="12" t="s">
        <v>378</v>
      </c>
      <c r="B45" s="13" t="s">
        <v>338</v>
      </c>
      <c r="C45" s="13" t="s">
        <v>379</v>
      </c>
      <c r="D45" s="13" t="s">
        <v>380</v>
      </c>
      <c r="E45" s="14" t="s">
        <v>100</v>
      </c>
      <c r="F45" s="15" t="s">
        <v>146</v>
      </c>
      <c r="G45" s="14" t="s">
        <v>147</v>
      </c>
      <c r="H45" s="13" t="s">
        <v>354</v>
      </c>
      <c r="I45" s="13" t="s">
        <v>321</v>
      </c>
      <c r="J45" s="13" t="s">
        <v>381</v>
      </c>
      <c r="K45" s="13" t="s">
        <v>382</v>
      </c>
      <c r="L45" s="13" t="s">
        <v>105</v>
      </c>
      <c r="M45" s="14" t="s">
        <v>89</v>
      </c>
      <c r="N45" s="13" t="s">
        <v>90</v>
      </c>
    </row>
    <row r="46" spans="1:14" s="4" customFormat="1" x14ac:dyDescent="0.25">
      <c r="A46" s="8" t="s">
        <v>383</v>
      </c>
      <c r="B46" s="9" t="s">
        <v>338</v>
      </c>
      <c r="C46" s="9" t="s">
        <v>384</v>
      </c>
      <c r="D46" s="9" t="s">
        <v>385</v>
      </c>
      <c r="E46" s="10" t="s">
        <v>81</v>
      </c>
      <c r="F46" s="16" t="s">
        <v>327</v>
      </c>
      <c r="G46" s="10" t="s">
        <v>147</v>
      </c>
      <c r="H46" s="9" t="s">
        <v>328</v>
      </c>
      <c r="I46" s="9" t="s">
        <v>386</v>
      </c>
      <c r="J46" s="9" t="s">
        <v>183</v>
      </c>
      <c r="K46" s="9" t="s">
        <v>387</v>
      </c>
      <c r="L46" s="9" t="s">
        <v>105</v>
      </c>
      <c r="M46" s="10" t="s">
        <v>89</v>
      </c>
      <c r="N46" s="9" t="s">
        <v>90</v>
      </c>
    </row>
    <row r="47" spans="1:14" s="4" customFormat="1" x14ac:dyDescent="0.25">
      <c r="A47" s="12" t="s">
        <v>388</v>
      </c>
      <c r="B47" s="13" t="s">
        <v>338</v>
      </c>
      <c r="C47" s="13" t="s">
        <v>389</v>
      </c>
      <c r="D47" s="13" t="s">
        <v>390</v>
      </c>
      <c r="E47" s="14" t="s">
        <v>123</v>
      </c>
      <c r="F47" s="11" t="s">
        <v>82</v>
      </c>
      <c r="G47" s="14" t="s">
        <v>147</v>
      </c>
      <c r="H47" s="13" t="s">
        <v>391</v>
      </c>
      <c r="I47" s="13" t="s">
        <v>392</v>
      </c>
      <c r="J47" s="13" t="s">
        <v>183</v>
      </c>
      <c r="K47" s="13" t="s">
        <v>393</v>
      </c>
      <c r="L47" s="13" t="s">
        <v>309</v>
      </c>
      <c r="M47" s="14" t="s">
        <v>89</v>
      </c>
      <c r="N47" s="13" t="s">
        <v>90</v>
      </c>
    </row>
    <row r="48" spans="1:14" s="4" customFormat="1" x14ac:dyDescent="0.25">
      <c r="A48" s="8" t="s">
        <v>394</v>
      </c>
      <c r="B48" s="9" t="s">
        <v>338</v>
      </c>
      <c r="C48" s="9" t="s">
        <v>395</v>
      </c>
      <c r="D48" s="9" t="s">
        <v>396</v>
      </c>
      <c r="E48" s="10" t="s">
        <v>123</v>
      </c>
      <c r="F48" s="15" t="s">
        <v>146</v>
      </c>
      <c r="G48" s="10" t="s">
        <v>147</v>
      </c>
      <c r="H48" s="9" t="s">
        <v>397</v>
      </c>
      <c r="I48" s="9" t="s">
        <v>398</v>
      </c>
      <c r="J48" s="9" t="s">
        <v>183</v>
      </c>
      <c r="K48" s="9" t="s">
        <v>399</v>
      </c>
      <c r="L48" s="9" t="s">
        <v>105</v>
      </c>
      <c r="M48" s="10" t="s">
        <v>89</v>
      </c>
      <c r="N48" s="9" t="s">
        <v>90</v>
      </c>
    </row>
    <row r="49" spans="1:14" s="4" customFormat="1" x14ac:dyDescent="0.25">
      <c r="A49" s="12" t="s">
        <v>400</v>
      </c>
      <c r="B49" s="13" t="s">
        <v>401</v>
      </c>
      <c r="C49" s="13" t="s">
        <v>402</v>
      </c>
      <c r="D49" s="13" t="s">
        <v>403</v>
      </c>
      <c r="E49" s="14" t="s">
        <v>81</v>
      </c>
      <c r="F49" s="11" t="s">
        <v>82</v>
      </c>
      <c r="G49" s="14" t="s">
        <v>109</v>
      </c>
      <c r="H49" s="13" t="s">
        <v>404</v>
      </c>
      <c r="I49" s="13" t="s">
        <v>405</v>
      </c>
      <c r="J49" s="13" t="s">
        <v>406</v>
      </c>
      <c r="K49" s="13" t="s">
        <v>407</v>
      </c>
      <c r="L49" s="13" t="s">
        <v>408</v>
      </c>
      <c r="M49" s="14" t="s">
        <v>89</v>
      </c>
      <c r="N49" s="13" t="s">
        <v>409</v>
      </c>
    </row>
    <row r="50" spans="1:14" s="4" customFormat="1" x14ac:dyDescent="0.25">
      <c r="A50" s="8" t="s">
        <v>410</v>
      </c>
      <c r="B50" s="9" t="s">
        <v>401</v>
      </c>
      <c r="C50" s="9" t="s">
        <v>402</v>
      </c>
      <c r="D50" s="9" t="s">
        <v>411</v>
      </c>
      <c r="E50" s="10" t="s">
        <v>81</v>
      </c>
      <c r="F50" s="11" t="s">
        <v>82</v>
      </c>
      <c r="G50" s="10" t="s">
        <v>109</v>
      </c>
      <c r="H50" s="9" t="s">
        <v>412</v>
      </c>
      <c r="I50" s="9" t="s">
        <v>413</v>
      </c>
      <c r="J50" s="9" t="s">
        <v>414</v>
      </c>
      <c r="K50" s="9" t="s">
        <v>415</v>
      </c>
      <c r="L50" s="9" t="s">
        <v>408</v>
      </c>
      <c r="M50" s="10" t="s">
        <v>89</v>
      </c>
      <c r="N50" s="9" t="s">
        <v>90</v>
      </c>
    </row>
    <row r="51" spans="1:14" s="4" customFormat="1" x14ac:dyDescent="0.25">
      <c r="A51" s="12" t="s">
        <v>416</v>
      </c>
      <c r="B51" s="13" t="s">
        <v>401</v>
      </c>
      <c r="C51" s="13" t="s">
        <v>402</v>
      </c>
      <c r="D51" s="13" t="s">
        <v>417</v>
      </c>
      <c r="E51" s="14" t="s">
        <v>81</v>
      </c>
      <c r="F51" s="11" t="s">
        <v>82</v>
      </c>
      <c r="G51" s="14" t="s">
        <v>109</v>
      </c>
      <c r="H51" s="13" t="s">
        <v>412</v>
      </c>
      <c r="I51" s="13" t="s">
        <v>418</v>
      </c>
      <c r="J51" s="13" t="s">
        <v>419</v>
      </c>
      <c r="K51" s="13" t="s">
        <v>420</v>
      </c>
      <c r="L51" s="13" t="s">
        <v>408</v>
      </c>
      <c r="M51" s="14" t="s">
        <v>89</v>
      </c>
      <c r="N51" s="13" t="s">
        <v>90</v>
      </c>
    </row>
    <row r="52" spans="1:14" s="4" customFormat="1" x14ac:dyDescent="0.25">
      <c r="A52" s="8" t="s">
        <v>421</v>
      </c>
      <c r="B52" s="9" t="s">
        <v>401</v>
      </c>
      <c r="C52" s="9" t="s">
        <v>422</v>
      </c>
      <c r="D52" s="9" t="s">
        <v>423</v>
      </c>
      <c r="E52" s="10" t="s">
        <v>81</v>
      </c>
      <c r="F52" s="15" t="s">
        <v>146</v>
      </c>
      <c r="G52" s="10" t="s">
        <v>109</v>
      </c>
      <c r="H52" s="9" t="s">
        <v>412</v>
      </c>
      <c r="I52" s="9" t="s">
        <v>424</v>
      </c>
      <c r="J52" s="9" t="s">
        <v>425</v>
      </c>
      <c r="K52" s="9" t="s">
        <v>426</v>
      </c>
      <c r="L52" s="9" t="s">
        <v>408</v>
      </c>
      <c r="M52" s="10" t="s">
        <v>89</v>
      </c>
      <c r="N52" s="9" t="s">
        <v>90</v>
      </c>
    </row>
    <row r="53" spans="1:14" s="4" customFormat="1" x14ac:dyDescent="0.25">
      <c r="A53" s="12" t="s">
        <v>427</v>
      </c>
      <c r="B53" s="13" t="s">
        <v>401</v>
      </c>
      <c r="C53" s="13" t="s">
        <v>422</v>
      </c>
      <c r="D53" s="13" t="s">
        <v>428</v>
      </c>
      <c r="E53" s="14" t="s">
        <v>81</v>
      </c>
      <c r="F53" s="15" t="s">
        <v>146</v>
      </c>
      <c r="G53" s="14" t="s">
        <v>109</v>
      </c>
      <c r="H53" s="13" t="s">
        <v>412</v>
      </c>
      <c r="I53" s="13" t="s">
        <v>429</v>
      </c>
      <c r="J53" s="13" t="s">
        <v>430</v>
      </c>
      <c r="K53" s="13" t="s">
        <v>431</v>
      </c>
      <c r="L53" s="13" t="s">
        <v>408</v>
      </c>
      <c r="M53" s="14" t="s">
        <v>89</v>
      </c>
      <c r="N53" s="13" t="s">
        <v>90</v>
      </c>
    </row>
    <row r="54" spans="1:14" s="4" customFormat="1" x14ac:dyDescent="0.25">
      <c r="A54" s="8" t="s">
        <v>432</v>
      </c>
      <c r="B54" s="9" t="s">
        <v>401</v>
      </c>
      <c r="C54" s="9" t="s">
        <v>433</v>
      </c>
      <c r="D54" s="9" t="s">
        <v>434</v>
      </c>
      <c r="E54" s="10" t="s">
        <v>81</v>
      </c>
      <c r="F54" s="15" t="s">
        <v>146</v>
      </c>
      <c r="G54" s="10" t="s">
        <v>109</v>
      </c>
      <c r="H54" s="9" t="s">
        <v>412</v>
      </c>
      <c r="I54" s="9" t="s">
        <v>435</v>
      </c>
      <c r="J54" s="9" t="s">
        <v>436</v>
      </c>
      <c r="K54" s="9" t="s">
        <v>437</v>
      </c>
      <c r="L54" s="9" t="s">
        <v>408</v>
      </c>
      <c r="M54" s="10" t="s">
        <v>89</v>
      </c>
      <c r="N54" s="9" t="s">
        <v>90</v>
      </c>
    </row>
    <row r="55" spans="1:14" s="4" customFormat="1" x14ac:dyDescent="0.25">
      <c r="A55" s="12" t="s">
        <v>438</v>
      </c>
      <c r="B55" s="13" t="s">
        <v>401</v>
      </c>
      <c r="C55" s="13" t="s">
        <v>433</v>
      </c>
      <c r="D55" s="13" t="s">
        <v>439</v>
      </c>
      <c r="E55" s="14" t="s">
        <v>81</v>
      </c>
      <c r="F55" s="15" t="s">
        <v>146</v>
      </c>
      <c r="G55" s="14" t="s">
        <v>109</v>
      </c>
      <c r="H55" s="13" t="s">
        <v>412</v>
      </c>
      <c r="I55" s="13" t="s">
        <v>440</v>
      </c>
      <c r="J55" s="13" t="s">
        <v>441</v>
      </c>
      <c r="K55" s="13" t="s">
        <v>442</v>
      </c>
      <c r="L55" s="13" t="s">
        <v>408</v>
      </c>
      <c r="M55" s="14" t="s">
        <v>89</v>
      </c>
      <c r="N55" s="13" t="s">
        <v>90</v>
      </c>
    </row>
    <row r="56" spans="1:14" s="4" customFormat="1" x14ac:dyDescent="0.25">
      <c r="A56" s="8" t="s">
        <v>443</v>
      </c>
      <c r="B56" s="9" t="s">
        <v>401</v>
      </c>
      <c r="C56" s="9" t="s">
        <v>444</v>
      </c>
      <c r="D56" s="9" t="s">
        <v>445</v>
      </c>
      <c r="E56" s="10" t="s">
        <v>81</v>
      </c>
      <c r="F56" s="11" t="s">
        <v>82</v>
      </c>
      <c r="G56" s="10" t="s">
        <v>109</v>
      </c>
      <c r="H56" s="9" t="s">
        <v>412</v>
      </c>
      <c r="I56" s="9" t="s">
        <v>446</v>
      </c>
      <c r="J56" s="9" t="s">
        <v>447</v>
      </c>
      <c r="K56" s="9" t="s">
        <v>448</v>
      </c>
      <c r="L56" s="9" t="s">
        <v>408</v>
      </c>
      <c r="M56" s="10" t="s">
        <v>89</v>
      </c>
      <c r="N56" s="9" t="s">
        <v>90</v>
      </c>
    </row>
    <row r="57" spans="1:14" s="4" customFormat="1" x14ac:dyDescent="0.25">
      <c r="A57" s="12" t="s">
        <v>449</v>
      </c>
      <c r="B57" s="13" t="s">
        <v>401</v>
      </c>
      <c r="C57" s="13" t="s">
        <v>450</v>
      </c>
      <c r="D57" s="13" t="s">
        <v>451</v>
      </c>
      <c r="E57" s="14" t="s">
        <v>81</v>
      </c>
      <c r="F57" s="11" t="s">
        <v>82</v>
      </c>
      <c r="G57" s="14" t="s">
        <v>109</v>
      </c>
      <c r="H57" s="13" t="s">
        <v>412</v>
      </c>
      <c r="I57" s="13" t="s">
        <v>452</v>
      </c>
      <c r="J57" s="13" t="s">
        <v>453</v>
      </c>
      <c r="K57" s="13" t="s">
        <v>448</v>
      </c>
      <c r="L57" s="13" t="s">
        <v>408</v>
      </c>
      <c r="M57" s="14" t="s">
        <v>89</v>
      </c>
      <c r="N57" s="13" t="s">
        <v>90</v>
      </c>
    </row>
    <row r="58" spans="1:14" s="4" customFormat="1" x14ac:dyDescent="0.25">
      <c r="A58" s="8" t="s">
        <v>454</v>
      </c>
      <c r="B58" s="9" t="s">
        <v>401</v>
      </c>
      <c r="C58" s="9" t="s">
        <v>455</v>
      </c>
      <c r="D58" s="9" t="s">
        <v>456</v>
      </c>
      <c r="E58" s="10" t="s">
        <v>81</v>
      </c>
      <c r="F58" s="11" t="s">
        <v>82</v>
      </c>
      <c r="G58" s="10" t="s">
        <v>109</v>
      </c>
      <c r="H58" s="9" t="s">
        <v>412</v>
      </c>
      <c r="I58" s="9" t="s">
        <v>457</v>
      </c>
      <c r="J58" s="9" t="s">
        <v>458</v>
      </c>
      <c r="K58" s="9" t="s">
        <v>459</v>
      </c>
      <c r="L58" s="9" t="s">
        <v>408</v>
      </c>
      <c r="M58" s="10" t="s">
        <v>89</v>
      </c>
      <c r="N58" s="9" t="s">
        <v>90</v>
      </c>
    </row>
    <row r="59" spans="1:14" s="4" customFormat="1" x14ac:dyDescent="0.25">
      <c r="A59" s="12" t="s">
        <v>460</v>
      </c>
      <c r="B59" s="13" t="s">
        <v>401</v>
      </c>
      <c r="C59" s="13" t="s">
        <v>461</v>
      </c>
      <c r="D59" s="13" t="s">
        <v>462</v>
      </c>
      <c r="E59" s="14" t="s">
        <v>81</v>
      </c>
      <c r="F59" s="11" t="s">
        <v>82</v>
      </c>
      <c r="G59" s="14" t="s">
        <v>109</v>
      </c>
      <c r="H59" s="13" t="s">
        <v>412</v>
      </c>
      <c r="I59" s="13" t="s">
        <v>463</v>
      </c>
      <c r="J59" s="13" t="s">
        <v>464</v>
      </c>
      <c r="K59" s="13" t="s">
        <v>465</v>
      </c>
      <c r="L59" s="13" t="s">
        <v>408</v>
      </c>
      <c r="M59" s="14" t="s">
        <v>89</v>
      </c>
      <c r="N59" s="13" t="s">
        <v>90</v>
      </c>
    </row>
    <row r="60" spans="1:14" s="4" customFormat="1" x14ac:dyDescent="0.25">
      <c r="A60" s="8" t="s">
        <v>466</v>
      </c>
      <c r="B60" s="9" t="s">
        <v>401</v>
      </c>
      <c r="C60" s="9" t="s">
        <v>467</v>
      </c>
      <c r="D60" s="9" t="s">
        <v>468</v>
      </c>
      <c r="E60" s="10" t="s">
        <v>81</v>
      </c>
      <c r="F60" s="15" t="s">
        <v>146</v>
      </c>
      <c r="G60" s="10" t="s">
        <v>109</v>
      </c>
      <c r="H60" s="9" t="s">
        <v>412</v>
      </c>
      <c r="I60" s="9" t="s">
        <v>469</v>
      </c>
      <c r="J60" s="9" t="s">
        <v>470</v>
      </c>
      <c r="K60" s="9" t="s">
        <v>471</v>
      </c>
      <c r="L60" s="9" t="s">
        <v>408</v>
      </c>
      <c r="M60" s="10" t="s">
        <v>89</v>
      </c>
      <c r="N60" s="9" t="s">
        <v>90</v>
      </c>
    </row>
    <row r="61" spans="1:14" s="4" customFormat="1" x14ac:dyDescent="0.25">
      <c r="A61" s="12" t="s">
        <v>472</v>
      </c>
      <c r="B61" s="13" t="s">
        <v>401</v>
      </c>
      <c r="C61" s="13" t="s">
        <v>473</v>
      </c>
      <c r="D61" s="13" t="s">
        <v>474</v>
      </c>
      <c r="E61" s="14" t="s">
        <v>81</v>
      </c>
      <c r="F61" s="15" t="s">
        <v>146</v>
      </c>
      <c r="G61" s="14" t="s">
        <v>109</v>
      </c>
      <c r="H61" s="13" t="s">
        <v>412</v>
      </c>
      <c r="I61" s="13" t="s">
        <v>475</v>
      </c>
      <c r="J61" s="13" t="s">
        <v>476</v>
      </c>
      <c r="K61" s="13" t="s">
        <v>471</v>
      </c>
      <c r="L61" s="13" t="s">
        <v>408</v>
      </c>
      <c r="M61" s="14" t="s">
        <v>89</v>
      </c>
      <c r="N61" s="13" t="s">
        <v>90</v>
      </c>
    </row>
    <row r="62" spans="1:14" s="4" customFormat="1" x14ac:dyDescent="0.25">
      <c r="A62" s="8" t="s">
        <v>477</v>
      </c>
      <c r="B62" s="9" t="s">
        <v>401</v>
      </c>
      <c r="C62" s="9" t="s">
        <v>478</v>
      </c>
      <c r="D62" s="9" t="s">
        <v>479</v>
      </c>
      <c r="E62" s="10" t="s">
        <v>81</v>
      </c>
      <c r="F62" s="15" t="s">
        <v>146</v>
      </c>
      <c r="G62" s="10" t="s">
        <v>109</v>
      </c>
      <c r="H62" s="9" t="s">
        <v>412</v>
      </c>
      <c r="I62" s="9" t="s">
        <v>480</v>
      </c>
      <c r="J62" s="9" t="s">
        <v>481</v>
      </c>
      <c r="K62" s="9" t="s">
        <v>471</v>
      </c>
      <c r="L62" s="9" t="s">
        <v>408</v>
      </c>
      <c r="M62" s="10" t="s">
        <v>89</v>
      </c>
      <c r="N62" s="9" t="s">
        <v>90</v>
      </c>
    </row>
    <row r="63" spans="1:14" s="4" customFormat="1" x14ac:dyDescent="0.25">
      <c r="A63" s="12" t="s">
        <v>482</v>
      </c>
      <c r="B63" s="13" t="s">
        <v>401</v>
      </c>
      <c r="C63" s="13" t="s">
        <v>483</v>
      </c>
      <c r="D63" s="13" t="s">
        <v>484</v>
      </c>
      <c r="E63" s="14" t="s">
        <v>81</v>
      </c>
      <c r="F63" s="15" t="s">
        <v>146</v>
      </c>
      <c r="G63" s="14" t="s">
        <v>109</v>
      </c>
      <c r="H63" s="13" t="s">
        <v>412</v>
      </c>
      <c r="I63" s="13" t="s">
        <v>485</v>
      </c>
      <c r="J63" s="13" t="s">
        <v>486</v>
      </c>
      <c r="K63" s="13" t="s">
        <v>471</v>
      </c>
      <c r="L63" s="13" t="s">
        <v>408</v>
      </c>
      <c r="M63" s="14" t="s">
        <v>89</v>
      </c>
      <c r="N63" s="13" t="s">
        <v>90</v>
      </c>
    </row>
    <row r="64" spans="1:14" s="4" customFormat="1" x14ac:dyDescent="0.25">
      <c r="A64" s="8" t="s">
        <v>487</v>
      </c>
      <c r="B64" s="9" t="s">
        <v>401</v>
      </c>
      <c r="C64" s="9" t="s">
        <v>488</v>
      </c>
      <c r="D64" s="9" t="s">
        <v>489</v>
      </c>
      <c r="E64" s="10" t="s">
        <v>81</v>
      </c>
      <c r="F64" s="11" t="s">
        <v>82</v>
      </c>
      <c r="G64" s="10" t="s">
        <v>109</v>
      </c>
      <c r="H64" s="9" t="s">
        <v>412</v>
      </c>
      <c r="I64" s="9" t="s">
        <v>490</v>
      </c>
      <c r="J64" s="9" t="s">
        <v>491</v>
      </c>
      <c r="K64" s="9" t="s">
        <v>492</v>
      </c>
      <c r="L64" s="9" t="s">
        <v>408</v>
      </c>
      <c r="M64" s="10" t="s">
        <v>89</v>
      </c>
      <c r="N64" s="9" t="s">
        <v>90</v>
      </c>
    </row>
    <row r="65" spans="1:14" s="4" customFormat="1" x14ac:dyDescent="0.25">
      <c r="A65" s="12" t="s">
        <v>493</v>
      </c>
      <c r="B65" s="13" t="s">
        <v>401</v>
      </c>
      <c r="C65" s="13" t="s">
        <v>494</v>
      </c>
      <c r="D65" s="13" t="s">
        <v>495</v>
      </c>
      <c r="E65" s="14" t="s">
        <v>81</v>
      </c>
      <c r="F65" s="15" t="s">
        <v>146</v>
      </c>
      <c r="G65" s="14" t="s">
        <v>109</v>
      </c>
      <c r="H65" s="13" t="s">
        <v>496</v>
      </c>
      <c r="I65" s="13" t="s">
        <v>497</v>
      </c>
      <c r="J65" s="13" t="s">
        <v>498</v>
      </c>
      <c r="K65" s="13" t="s">
        <v>499</v>
      </c>
      <c r="L65" s="13" t="s">
        <v>408</v>
      </c>
      <c r="M65" s="14" t="s">
        <v>89</v>
      </c>
      <c r="N65" s="13" t="s">
        <v>90</v>
      </c>
    </row>
    <row r="66" spans="1:14" s="4" customFormat="1" x14ac:dyDescent="0.25">
      <c r="A66" s="8" t="s">
        <v>500</v>
      </c>
      <c r="B66" s="9" t="s">
        <v>401</v>
      </c>
      <c r="C66" s="9" t="s">
        <v>501</v>
      </c>
      <c r="D66" s="9" t="s">
        <v>502</v>
      </c>
      <c r="E66" s="10" t="s">
        <v>81</v>
      </c>
      <c r="F66" s="11" t="s">
        <v>82</v>
      </c>
      <c r="G66" s="10" t="s">
        <v>109</v>
      </c>
      <c r="H66" s="9" t="s">
        <v>503</v>
      </c>
      <c r="I66" s="9" t="s">
        <v>504</v>
      </c>
      <c r="J66" s="9" t="s">
        <v>505</v>
      </c>
      <c r="K66" s="9" t="s">
        <v>506</v>
      </c>
      <c r="L66" s="9" t="s">
        <v>408</v>
      </c>
      <c r="M66" s="10" t="s">
        <v>89</v>
      </c>
      <c r="N66" s="9" t="s">
        <v>90</v>
      </c>
    </row>
    <row r="67" spans="1:14" s="4" customFormat="1" x14ac:dyDescent="0.25">
      <c r="A67" s="12" t="s">
        <v>507</v>
      </c>
      <c r="B67" s="13" t="s">
        <v>401</v>
      </c>
      <c r="C67" s="13" t="s">
        <v>508</v>
      </c>
      <c r="D67" s="13" t="s">
        <v>509</v>
      </c>
      <c r="E67" s="14" t="s">
        <v>81</v>
      </c>
      <c r="F67" s="15" t="s">
        <v>146</v>
      </c>
      <c r="G67" s="14" t="s">
        <v>109</v>
      </c>
      <c r="H67" s="13" t="s">
        <v>510</v>
      </c>
      <c r="I67" s="13" t="s">
        <v>511</v>
      </c>
      <c r="J67" s="13" t="s">
        <v>512</v>
      </c>
      <c r="K67" s="13" t="s">
        <v>513</v>
      </c>
      <c r="L67" s="13" t="s">
        <v>408</v>
      </c>
      <c r="M67" s="14" t="s">
        <v>89</v>
      </c>
      <c r="N67" s="13" t="s">
        <v>90</v>
      </c>
    </row>
    <row r="68" spans="1:14" s="4" customFormat="1" x14ac:dyDescent="0.25">
      <c r="A68" s="8" t="s">
        <v>514</v>
      </c>
      <c r="B68" s="9" t="s">
        <v>401</v>
      </c>
      <c r="C68" s="9" t="s">
        <v>515</v>
      </c>
      <c r="D68" s="9" t="s">
        <v>516</v>
      </c>
      <c r="E68" s="10" t="s">
        <v>81</v>
      </c>
      <c r="F68" s="16" t="s">
        <v>327</v>
      </c>
      <c r="G68" s="10" t="s">
        <v>109</v>
      </c>
      <c r="H68" s="9" t="s">
        <v>412</v>
      </c>
      <c r="I68" s="9" t="s">
        <v>517</v>
      </c>
      <c r="J68" s="9" t="s">
        <v>518</v>
      </c>
      <c r="K68" s="9" t="s">
        <v>519</v>
      </c>
      <c r="L68" s="9" t="s">
        <v>408</v>
      </c>
      <c r="M68" s="10" t="s">
        <v>89</v>
      </c>
      <c r="N68" s="9" t="s">
        <v>90</v>
      </c>
    </row>
    <row r="69" spans="1:14" s="4" customFormat="1" x14ac:dyDescent="0.25">
      <c r="A69" s="12" t="s">
        <v>520</v>
      </c>
      <c r="B69" s="13" t="s">
        <v>401</v>
      </c>
      <c r="C69" s="13" t="s">
        <v>521</v>
      </c>
      <c r="D69" s="13" t="s">
        <v>522</v>
      </c>
      <c r="E69" s="14" t="s">
        <v>81</v>
      </c>
      <c r="F69" s="11" t="s">
        <v>82</v>
      </c>
      <c r="G69" s="14" t="s">
        <v>109</v>
      </c>
      <c r="H69" s="13" t="s">
        <v>523</v>
      </c>
      <c r="I69" s="13" t="s">
        <v>524</v>
      </c>
      <c r="J69" s="13" t="s">
        <v>525</v>
      </c>
      <c r="K69" s="13" t="s">
        <v>526</v>
      </c>
      <c r="L69" s="13" t="s">
        <v>408</v>
      </c>
      <c r="M69" s="14" t="s">
        <v>89</v>
      </c>
      <c r="N69" s="13" t="s">
        <v>90</v>
      </c>
    </row>
    <row r="70" spans="1:14" s="4" customFormat="1" x14ac:dyDescent="0.25">
      <c r="A70" s="8" t="s">
        <v>527</v>
      </c>
      <c r="B70" s="9" t="s">
        <v>401</v>
      </c>
      <c r="C70" s="9" t="s">
        <v>521</v>
      </c>
      <c r="D70" s="9" t="s">
        <v>528</v>
      </c>
      <c r="E70" s="10" t="s">
        <v>81</v>
      </c>
      <c r="F70" s="11" t="s">
        <v>82</v>
      </c>
      <c r="G70" s="10" t="s">
        <v>109</v>
      </c>
      <c r="H70" s="9" t="s">
        <v>529</v>
      </c>
      <c r="I70" s="9" t="s">
        <v>530</v>
      </c>
      <c r="J70" s="9" t="s">
        <v>531</v>
      </c>
      <c r="K70" s="9" t="s">
        <v>532</v>
      </c>
      <c r="L70" s="9" t="s">
        <v>408</v>
      </c>
      <c r="M70" s="10" t="s">
        <v>89</v>
      </c>
      <c r="N70" s="9" t="s">
        <v>90</v>
      </c>
    </row>
    <row r="71" spans="1:14" s="4" customFormat="1" x14ac:dyDescent="0.25">
      <c r="A71" s="12" t="s">
        <v>533</v>
      </c>
      <c r="B71" s="13" t="s">
        <v>401</v>
      </c>
      <c r="C71" s="13" t="s">
        <v>233</v>
      </c>
      <c r="D71" s="13" t="s">
        <v>534</v>
      </c>
      <c r="E71" s="14" t="s">
        <v>123</v>
      </c>
      <c r="F71" s="11" t="s">
        <v>82</v>
      </c>
      <c r="G71" s="14" t="s">
        <v>109</v>
      </c>
      <c r="H71" s="13" t="s">
        <v>535</v>
      </c>
      <c r="I71" s="13" t="s">
        <v>536</v>
      </c>
      <c r="J71" s="13" t="s">
        <v>537</v>
      </c>
      <c r="K71" s="13" t="s">
        <v>538</v>
      </c>
      <c r="L71" s="13" t="s">
        <v>408</v>
      </c>
      <c r="M71" s="14" t="s">
        <v>89</v>
      </c>
      <c r="N71" s="13" t="s">
        <v>90</v>
      </c>
    </row>
    <row r="72" spans="1:14" s="4" customFormat="1" x14ac:dyDescent="0.25">
      <c r="A72" s="8" t="s">
        <v>539</v>
      </c>
      <c r="B72" s="9" t="s">
        <v>401</v>
      </c>
      <c r="C72" s="9" t="s">
        <v>233</v>
      </c>
      <c r="D72" s="9" t="s">
        <v>540</v>
      </c>
      <c r="E72" s="10" t="s">
        <v>123</v>
      </c>
      <c r="F72" s="11" t="s">
        <v>82</v>
      </c>
      <c r="G72" s="10" t="s">
        <v>109</v>
      </c>
      <c r="H72" s="9" t="s">
        <v>541</v>
      </c>
      <c r="I72" s="9" t="s">
        <v>542</v>
      </c>
      <c r="J72" s="9" t="s">
        <v>543</v>
      </c>
      <c r="K72" s="9" t="s">
        <v>544</v>
      </c>
      <c r="L72" s="9" t="s">
        <v>408</v>
      </c>
      <c r="M72" s="10" t="s">
        <v>89</v>
      </c>
      <c r="N72" s="9" t="s">
        <v>90</v>
      </c>
    </row>
    <row r="73" spans="1:14" s="4" customFormat="1" x14ac:dyDescent="0.25">
      <c r="A73" s="12" t="s">
        <v>545</v>
      </c>
      <c r="B73" s="13" t="s">
        <v>401</v>
      </c>
      <c r="C73" s="13" t="s">
        <v>546</v>
      </c>
      <c r="D73" s="13" t="s">
        <v>547</v>
      </c>
      <c r="E73" s="14" t="s">
        <v>123</v>
      </c>
      <c r="F73" s="11" t="s">
        <v>82</v>
      </c>
      <c r="G73" s="14" t="s">
        <v>109</v>
      </c>
      <c r="H73" s="13" t="s">
        <v>548</v>
      </c>
      <c r="I73" s="13" t="s">
        <v>549</v>
      </c>
      <c r="J73" s="13" t="s">
        <v>550</v>
      </c>
      <c r="K73" s="13" t="s">
        <v>551</v>
      </c>
      <c r="L73" s="13" t="s">
        <v>105</v>
      </c>
      <c r="M73" s="14" t="s">
        <v>89</v>
      </c>
      <c r="N73" s="13" t="s">
        <v>90</v>
      </c>
    </row>
    <row r="74" spans="1:14" s="4" customFormat="1" x14ac:dyDescent="0.25">
      <c r="A74" s="8" t="s">
        <v>552</v>
      </c>
      <c r="B74" s="9" t="s">
        <v>553</v>
      </c>
      <c r="C74" s="9" t="s">
        <v>213</v>
      </c>
      <c r="D74" s="9" t="s">
        <v>554</v>
      </c>
      <c r="E74" s="10" t="s">
        <v>81</v>
      </c>
      <c r="F74" s="11" t="s">
        <v>82</v>
      </c>
      <c r="G74" s="10" t="s">
        <v>109</v>
      </c>
      <c r="H74" s="9" t="s">
        <v>555</v>
      </c>
      <c r="I74" s="9" t="s">
        <v>556</v>
      </c>
      <c r="J74" s="9" t="s">
        <v>183</v>
      </c>
      <c r="K74" s="9" t="s">
        <v>557</v>
      </c>
      <c r="L74" s="9" t="s">
        <v>135</v>
      </c>
      <c r="M74" s="10" t="s">
        <v>89</v>
      </c>
      <c r="N74" s="9" t="s">
        <v>218</v>
      </c>
    </row>
    <row r="75" spans="1:14" s="4" customFormat="1" x14ac:dyDescent="0.25">
      <c r="A75" s="12" t="s">
        <v>558</v>
      </c>
      <c r="B75" s="13" t="s">
        <v>553</v>
      </c>
      <c r="C75" s="13" t="s">
        <v>233</v>
      </c>
      <c r="D75" s="13" t="s">
        <v>559</v>
      </c>
      <c r="E75" s="14" t="s">
        <v>81</v>
      </c>
      <c r="F75" s="11" t="s">
        <v>82</v>
      </c>
      <c r="G75" s="14" t="s">
        <v>109</v>
      </c>
      <c r="H75" s="13" t="s">
        <v>560</v>
      </c>
      <c r="I75" s="13" t="s">
        <v>561</v>
      </c>
      <c r="J75" s="13" t="s">
        <v>562</v>
      </c>
      <c r="K75" s="13" t="s">
        <v>563</v>
      </c>
      <c r="L75" s="13" t="s">
        <v>564</v>
      </c>
      <c r="M75" s="14" t="s">
        <v>89</v>
      </c>
      <c r="N75" s="13" t="s">
        <v>90</v>
      </c>
    </row>
    <row r="76" spans="1:14" s="4" customFormat="1" x14ac:dyDescent="0.25">
      <c r="A76" s="8" t="s">
        <v>565</v>
      </c>
      <c r="B76" s="9" t="s">
        <v>553</v>
      </c>
      <c r="C76" s="9" t="s">
        <v>233</v>
      </c>
      <c r="D76" s="9" t="s">
        <v>566</v>
      </c>
      <c r="E76" s="10" t="s">
        <v>81</v>
      </c>
      <c r="F76" s="11" t="s">
        <v>82</v>
      </c>
      <c r="G76" s="10" t="s">
        <v>109</v>
      </c>
      <c r="H76" s="9" t="s">
        <v>567</v>
      </c>
      <c r="I76" s="9" t="s">
        <v>568</v>
      </c>
      <c r="J76" s="9" t="s">
        <v>286</v>
      </c>
      <c r="K76" s="9" t="s">
        <v>569</v>
      </c>
      <c r="L76" s="9" t="s">
        <v>564</v>
      </c>
      <c r="M76" s="10" t="s">
        <v>89</v>
      </c>
      <c r="N76" s="9" t="s">
        <v>90</v>
      </c>
    </row>
    <row r="77" spans="1:14" s="4" customFormat="1" x14ac:dyDescent="0.25">
      <c r="A77" s="12" t="s">
        <v>570</v>
      </c>
      <c r="B77" s="13" t="s">
        <v>553</v>
      </c>
      <c r="C77" s="13" t="s">
        <v>233</v>
      </c>
      <c r="D77" s="13" t="s">
        <v>571</v>
      </c>
      <c r="E77" s="14" t="s">
        <v>100</v>
      </c>
      <c r="F77" s="11" t="s">
        <v>82</v>
      </c>
      <c r="G77" s="14" t="s">
        <v>109</v>
      </c>
      <c r="H77" s="13" t="s">
        <v>572</v>
      </c>
      <c r="I77" s="13" t="s">
        <v>573</v>
      </c>
      <c r="J77" s="13" t="s">
        <v>574</v>
      </c>
      <c r="K77" s="13" t="s">
        <v>575</v>
      </c>
      <c r="L77" s="13" t="s">
        <v>564</v>
      </c>
      <c r="M77" s="14" t="s">
        <v>89</v>
      </c>
      <c r="N77" s="13" t="s">
        <v>576</v>
      </c>
    </row>
    <row r="78" spans="1:14" s="4" customFormat="1" x14ac:dyDescent="0.25">
      <c r="A78" s="8" t="s">
        <v>577</v>
      </c>
      <c r="B78" s="9" t="s">
        <v>553</v>
      </c>
      <c r="C78" s="9" t="s">
        <v>233</v>
      </c>
      <c r="D78" s="9" t="s">
        <v>578</v>
      </c>
      <c r="E78" s="10" t="s">
        <v>81</v>
      </c>
      <c r="F78" s="15" t="s">
        <v>146</v>
      </c>
      <c r="G78" s="10" t="s">
        <v>109</v>
      </c>
      <c r="H78" s="9" t="s">
        <v>579</v>
      </c>
      <c r="I78" s="9" t="s">
        <v>580</v>
      </c>
      <c r="J78" s="9" t="s">
        <v>581</v>
      </c>
      <c r="K78" s="9" t="s">
        <v>582</v>
      </c>
      <c r="L78" s="9" t="s">
        <v>564</v>
      </c>
      <c r="M78" s="10" t="s">
        <v>89</v>
      </c>
      <c r="N78" s="9" t="s">
        <v>90</v>
      </c>
    </row>
    <row r="79" spans="1:14" s="4" customFormat="1" x14ac:dyDescent="0.25">
      <c r="A79" s="12" t="s">
        <v>583</v>
      </c>
      <c r="B79" s="13" t="s">
        <v>553</v>
      </c>
      <c r="C79" s="13" t="s">
        <v>233</v>
      </c>
      <c r="D79" s="13" t="s">
        <v>584</v>
      </c>
      <c r="E79" s="14" t="s">
        <v>100</v>
      </c>
      <c r="F79" s="11" t="s">
        <v>82</v>
      </c>
      <c r="G79" s="14" t="s">
        <v>109</v>
      </c>
      <c r="H79" s="13" t="s">
        <v>585</v>
      </c>
      <c r="I79" s="13" t="s">
        <v>586</v>
      </c>
      <c r="J79" s="13" t="s">
        <v>587</v>
      </c>
      <c r="K79" s="13" t="s">
        <v>588</v>
      </c>
      <c r="L79" s="13" t="s">
        <v>564</v>
      </c>
      <c r="M79" s="14" t="s">
        <v>89</v>
      </c>
      <c r="N79" s="13" t="s">
        <v>90</v>
      </c>
    </row>
    <row r="80" spans="1:14" s="4" customFormat="1" x14ac:dyDescent="0.25">
      <c r="A80" s="8" t="s">
        <v>589</v>
      </c>
      <c r="B80" s="9" t="s">
        <v>553</v>
      </c>
      <c r="C80" s="9" t="s">
        <v>590</v>
      </c>
      <c r="D80" s="9" t="s">
        <v>591</v>
      </c>
      <c r="E80" s="10" t="s">
        <v>81</v>
      </c>
      <c r="F80" s="11" t="s">
        <v>82</v>
      </c>
      <c r="G80" s="10" t="s">
        <v>109</v>
      </c>
      <c r="H80" s="9" t="s">
        <v>592</v>
      </c>
      <c r="I80" s="9" t="s">
        <v>593</v>
      </c>
      <c r="J80" s="9" t="s">
        <v>594</v>
      </c>
      <c r="K80" s="9" t="s">
        <v>595</v>
      </c>
      <c r="L80" s="9" t="s">
        <v>596</v>
      </c>
      <c r="M80" s="10" t="s">
        <v>89</v>
      </c>
      <c r="N80" s="9" t="s">
        <v>597</v>
      </c>
    </row>
    <row r="81" spans="1:14" s="4" customFormat="1" x14ac:dyDescent="0.25">
      <c r="A81" s="12" t="s">
        <v>598</v>
      </c>
      <c r="B81" s="13" t="s">
        <v>553</v>
      </c>
      <c r="C81" s="13" t="s">
        <v>590</v>
      </c>
      <c r="D81" s="13" t="s">
        <v>599</v>
      </c>
      <c r="E81" s="14" t="s">
        <v>100</v>
      </c>
      <c r="F81" s="11" t="s">
        <v>82</v>
      </c>
      <c r="G81" s="14" t="s">
        <v>163</v>
      </c>
      <c r="H81" s="13" t="s">
        <v>600</v>
      </c>
      <c r="I81" s="13" t="s">
        <v>601</v>
      </c>
      <c r="J81" s="13" t="s">
        <v>602</v>
      </c>
      <c r="K81" s="13" t="s">
        <v>603</v>
      </c>
      <c r="L81" s="13" t="s">
        <v>596</v>
      </c>
      <c r="M81" s="14" t="s">
        <v>89</v>
      </c>
      <c r="N81" s="13" t="s">
        <v>597</v>
      </c>
    </row>
    <row r="82" spans="1:14" s="4" customFormat="1" x14ac:dyDescent="0.25">
      <c r="A82" s="8" t="s">
        <v>604</v>
      </c>
      <c r="B82" s="9" t="s">
        <v>605</v>
      </c>
      <c r="C82" s="9" t="s">
        <v>606</v>
      </c>
      <c r="D82" s="9" t="s">
        <v>607</v>
      </c>
      <c r="E82" s="10" t="s">
        <v>100</v>
      </c>
      <c r="F82" s="11" t="s">
        <v>82</v>
      </c>
      <c r="G82" s="10" t="s">
        <v>83</v>
      </c>
      <c r="H82" s="9" t="s">
        <v>608</v>
      </c>
      <c r="I82" s="9" t="s">
        <v>609</v>
      </c>
      <c r="J82" s="9" t="s">
        <v>610</v>
      </c>
      <c r="K82" s="9" t="s">
        <v>611</v>
      </c>
      <c r="L82" s="9" t="s">
        <v>247</v>
      </c>
      <c r="M82" s="10" t="s">
        <v>89</v>
      </c>
      <c r="N82" s="9" t="s">
        <v>90</v>
      </c>
    </row>
    <row r="83" spans="1:14" s="4" customFormat="1" x14ac:dyDescent="0.25">
      <c r="A83" s="12" t="s">
        <v>612</v>
      </c>
      <c r="B83" s="13" t="s">
        <v>605</v>
      </c>
      <c r="C83" s="13" t="s">
        <v>606</v>
      </c>
      <c r="D83" s="13" t="s">
        <v>613</v>
      </c>
      <c r="E83" s="14" t="s">
        <v>100</v>
      </c>
      <c r="F83" s="11" t="s">
        <v>82</v>
      </c>
      <c r="G83" s="14" t="s">
        <v>109</v>
      </c>
      <c r="H83" s="13" t="s">
        <v>614</v>
      </c>
      <c r="I83" s="13" t="s">
        <v>615</v>
      </c>
      <c r="J83" s="13" t="s">
        <v>616</v>
      </c>
      <c r="K83" s="13" t="s">
        <v>617</v>
      </c>
      <c r="L83" s="13" t="s">
        <v>247</v>
      </c>
      <c r="M83" s="14" t="s">
        <v>89</v>
      </c>
      <c r="N83" s="13" t="s">
        <v>90</v>
      </c>
    </row>
    <row r="84" spans="1:14" s="4" customFormat="1" x14ac:dyDescent="0.25">
      <c r="A84" s="8" t="s">
        <v>618</v>
      </c>
      <c r="B84" s="9" t="s">
        <v>605</v>
      </c>
      <c r="C84" s="9" t="s">
        <v>606</v>
      </c>
      <c r="D84" s="9" t="s">
        <v>619</v>
      </c>
      <c r="E84" s="10" t="s">
        <v>100</v>
      </c>
      <c r="F84" s="11" t="s">
        <v>82</v>
      </c>
      <c r="G84" s="10" t="s">
        <v>109</v>
      </c>
      <c r="H84" s="9" t="s">
        <v>620</v>
      </c>
      <c r="I84" s="9" t="s">
        <v>621</v>
      </c>
      <c r="J84" s="9" t="s">
        <v>622</v>
      </c>
      <c r="K84" s="9" t="s">
        <v>623</v>
      </c>
      <c r="L84" s="9" t="s">
        <v>247</v>
      </c>
      <c r="M84" s="10" t="s">
        <v>89</v>
      </c>
      <c r="N84" s="9" t="s">
        <v>90</v>
      </c>
    </row>
    <row r="85" spans="1:14" s="4" customFormat="1" x14ac:dyDescent="0.25">
      <c r="A85" s="12" t="s">
        <v>624</v>
      </c>
      <c r="B85" s="13" t="s">
        <v>605</v>
      </c>
      <c r="C85" s="13" t="s">
        <v>606</v>
      </c>
      <c r="D85" s="13" t="s">
        <v>625</v>
      </c>
      <c r="E85" s="14" t="s">
        <v>81</v>
      </c>
      <c r="F85" s="11" t="s">
        <v>82</v>
      </c>
      <c r="G85" s="14" t="s">
        <v>109</v>
      </c>
      <c r="H85" s="13" t="s">
        <v>626</v>
      </c>
      <c r="I85" s="13" t="s">
        <v>627</v>
      </c>
      <c r="J85" s="13" t="s">
        <v>628</v>
      </c>
      <c r="K85" s="13" t="s">
        <v>629</v>
      </c>
      <c r="L85" s="13" t="s">
        <v>630</v>
      </c>
      <c r="M85" s="14" t="s">
        <v>89</v>
      </c>
      <c r="N85" s="13" t="s">
        <v>631</v>
      </c>
    </row>
    <row r="86" spans="1:14" s="4" customFormat="1" x14ac:dyDescent="0.25">
      <c r="A86" s="8" t="s">
        <v>632</v>
      </c>
      <c r="B86" s="9" t="s">
        <v>605</v>
      </c>
      <c r="C86" s="9" t="s">
        <v>633</v>
      </c>
      <c r="D86" s="9" t="s">
        <v>634</v>
      </c>
      <c r="E86" s="10" t="s">
        <v>81</v>
      </c>
      <c r="F86" s="11" t="s">
        <v>82</v>
      </c>
      <c r="G86" s="10" t="s">
        <v>109</v>
      </c>
      <c r="H86" s="9" t="s">
        <v>635</v>
      </c>
      <c r="I86" s="9" t="s">
        <v>636</v>
      </c>
      <c r="J86" s="9" t="s">
        <v>637</v>
      </c>
      <c r="K86" s="9" t="s">
        <v>638</v>
      </c>
      <c r="L86" s="9" t="s">
        <v>630</v>
      </c>
      <c r="M86" s="10" t="s">
        <v>89</v>
      </c>
      <c r="N86" s="9" t="s">
        <v>90</v>
      </c>
    </row>
    <row r="87" spans="1:14" s="4" customFormat="1" x14ac:dyDescent="0.25">
      <c r="A87" s="12" t="s">
        <v>639</v>
      </c>
      <c r="B87" s="13" t="s">
        <v>605</v>
      </c>
      <c r="C87" s="13" t="s">
        <v>640</v>
      </c>
      <c r="D87" s="13" t="s">
        <v>641</v>
      </c>
      <c r="E87" s="14" t="s">
        <v>81</v>
      </c>
      <c r="F87" s="15" t="s">
        <v>146</v>
      </c>
      <c r="G87" s="14" t="s">
        <v>109</v>
      </c>
      <c r="H87" s="13" t="s">
        <v>642</v>
      </c>
      <c r="I87" s="13" t="s">
        <v>643</v>
      </c>
      <c r="J87" s="13" t="s">
        <v>644</v>
      </c>
      <c r="K87" s="13" t="s">
        <v>645</v>
      </c>
      <c r="L87" s="13" t="s">
        <v>630</v>
      </c>
      <c r="M87" s="14" t="s">
        <v>89</v>
      </c>
      <c r="N87" s="13" t="s">
        <v>90</v>
      </c>
    </row>
    <row r="88" spans="1:14" s="4" customFormat="1" x14ac:dyDescent="0.25">
      <c r="A88" s="8" t="s">
        <v>646</v>
      </c>
      <c r="B88" s="9" t="s">
        <v>605</v>
      </c>
      <c r="C88" s="9" t="s">
        <v>647</v>
      </c>
      <c r="D88" s="9" t="s">
        <v>648</v>
      </c>
      <c r="E88" s="10" t="s">
        <v>81</v>
      </c>
      <c r="F88" s="11" t="s">
        <v>82</v>
      </c>
      <c r="G88" s="10" t="s">
        <v>109</v>
      </c>
      <c r="H88" s="9" t="s">
        <v>649</v>
      </c>
      <c r="I88" s="9" t="s">
        <v>650</v>
      </c>
      <c r="J88" s="9" t="s">
        <v>651</v>
      </c>
      <c r="K88" s="9" t="s">
        <v>652</v>
      </c>
      <c r="L88" s="9" t="s">
        <v>630</v>
      </c>
      <c r="M88" s="10" t="s">
        <v>89</v>
      </c>
      <c r="N88" s="9" t="s">
        <v>90</v>
      </c>
    </row>
    <row r="89" spans="1:14" s="4" customFormat="1" x14ac:dyDescent="0.25">
      <c r="A89" s="12" t="s">
        <v>653</v>
      </c>
      <c r="B89" s="13" t="s">
        <v>605</v>
      </c>
      <c r="C89" s="13" t="s">
        <v>654</v>
      </c>
      <c r="D89" s="13" t="s">
        <v>655</v>
      </c>
      <c r="E89" s="14" t="s">
        <v>81</v>
      </c>
      <c r="F89" s="15" t="s">
        <v>146</v>
      </c>
      <c r="G89" s="14" t="s">
        <v>109</v>
      </c>
      <c r="H89" s="13" t="s">
        <v>656</v>
      </c>
      <c r="I89" s="13" t="s">
        <v>657</v>
      </c>
      <c r="J89" s="13" t="s">
        <v>658</v>
      </c>
      <c r="K89" s="13" t="s">
        <v>659</v>
      </c>
      <c r="L89" s="13" t="s">
        <v>630</v>
      </c>
      <c r="M89" s="14" t="s">
        <v>89</v>
      </c>
      <c r="N89" s="13" t="s">
        <v>90</v>
      </c>
    </row>
    <row r="90" spans="1:14" s="4" customFormat="1" x14ac:dyDescent="0.25">
      <c r="A90" s="8" t="s">
        <v>660</v>
      </c>
      <c r="B90" s="9" t="s">
        <v>605</v>
      </c>
      <c r="C90" s="9" t="s">
        <v>661</v>
      </c>
      <c r="D90" s="9" t="s">
        <v>662</v>
      </c>
      <c r="E90" s="10" t="s">
        <v>81</v>
      </c>
      <c r="F90" s="15" t="s">
        <v>146</v>
      </c>
      <c r="G90" s="10" t="s">
        <v>109</v>
      </c>
      <c r="H90" s="9" t="s">
        <v>663</v>
      </c>
      <c r="I90" s="9" t="s">
        <v>664</v>
      </c>
      <c r="J90" s="9" t="s">
        <v>665</v>
      </c>
      <c r="K90" s="9" t="s">
        <v>666</v>
      </c>
      <c r="L90" s="9" t="s">
        <v>596</v>
      </c>
      <c r="M90" s="10" t="s">
        <v>89</v>
      </c>
      <c r="N90" s="9" t="s">
        <v>90</v>
      </c>
    </row>
    <row r="91" spans="1:14" s="4" customFormat="1" x14ac:dyDescent="0.25">
      <c r="A91" s="12" t="s">
        <v>667</v>
      </c>
      <c r="B91" s="13" t="s">
        <v>668</v>
      </c>
      <c r="C91" s="13" t="s">
        <v>200</v>
      </c>
      <c r="D91" s="13" t="s">
        <v>669</v>
      </c>
      <c r="E91" s="14" t="s">
        <v>81</v>
      </c>
      <c r="F91" s="11" t="s">
        <v>82</v>
      </c>
      <c r="G91" s="14" t="s">
        <v>147</v>
      </c>
      <c r="H91" s="13" t="s">
        <v>670</v>
      </c>
      <c r="I91" s="13" t="s">
        <v>671</v>
      </c>
      <c r="J91" s="13" t="s">
        <v>183</v>
      </c>
      <c r="K91" s="13" t="s">
        <v>672</v>
      </c>
      <c r="L91" s="13" t="s">
        <v>135</v>
      </c>
      <c r="M91" s="14" t="s">
        <v>89</v>
      </c>
      <c r="N91" s="13" t="s">
        <v>90</v>
      </c>
    </row>
    <row r="92" spans="1:14" s="4" customFormat="1" x14ac:dyDescent="0.25">
      <c r="A92" s="8" t="s">
        <v>673</v>
      </c>
      <c r="B92" s="9" t="s">
        <v>668</v>
      </c>
      <c r="C92" s="9" t="s">
        <v>674</v>
      </c>
      <c r="D92" s="9" t="s">
        <v>675</v>
      </c>
      <c r="E92" s="10" t="s">
        <v>81</v>
      </c>
      <c r="F92" s="15" t="s">
        <v>146</v>
      </c>
      <c r="G92" s="10" t="s">
        <v>109</v>
      </c>
      <c r="H92" s="9" t="s">
        <v>676</v>
      </c>
      <c r="I92" s="9" t="s">
        <v>677</v>
      </c>
      <c r="J92" s="9" t="s">
        <v>183</v>
      </c>
      <c r="K92" s="9" t="s">
        <v>678</v>
      </c>
      <c r="L92" s="9" t="s">
        <v>105</v>
      </c>
      <c r="M92" s="10" t="s">
        <v>89</v>
      </c>
      <c r="N92" s="9" t="s">
        <v>679</v>
      </c>
    </row>
    <row r="93" spans="1:14" s="4" customFormat="1" x14ac:dyDescent="0.25">
      <c r="A93" s="12" t="s">
        <v>680</v>
      </c>
      <c r="B93" s="13" t="s">
        <v>668</v>
      </c>
      <c r="C93" s="13" t="s">
        <v>681</v>
      </c>
      <c r="D93" s="13" t="s">
        <v>682</v>
      </c>
      <c r="E93" s="14" t="s">
        <v>81</v>
      </c>
      <c r="F93" s="11" t="s">
        <v>82</v>
      </c>
      <c r="G93" s="14" t="s">
        <v>109</v>
      </c>
      <c r="H93" s="13" t="s">
        <v>139</v>
      </c>
      <c r="I93" s="13" t="s">
        <v>683</v>
      </c>
      <c r="J93" s="13" t="s">
        <v>684</v>
      </c>
      <c r="K93" s="13" t="s">
        <v>685</v>
      </c>
      <c r="L93" s="13" t="s">
        <v>247</v>
      </c>
      <c r="M93" s="14" t="s">
        <v>89</v>
      </c>
      <c r="N93" s="13" t="s">
        <v>90</v>
      </c>
    </row>
    <row r="94" spans="1:14" s="4" customFormat="1" x14ac:dyDescent="0.25">
      <c r="A94" s="8" t="s">
        <v>686</v>
      </c>
      <c r="B94" s="9" t="s">
        <v>668</v>
      </c>
      <c r="C94" s="9" t="s">
        <v>687</v>
      </c>
      <c r="D94" s="9" t="s">
        <v>688</v>
      </c>
      <c r="E94" s="10" t="s">
        <v>81</v>
      </c>
      <c r="F94" s="11" t="s">
        <v>82</v>
      </c>
      <c r="G94" s="10" t="s">
        <v>147</v>
      </c>
      <c r="H94" s="9" t="s">
        <v>279</v>
      </c>
      <c r="I94" s="9" t="s">
        <v>689</v>
      </c>
      <c r="J94" s="9" t="s">
        <v>690</v>
      </c>
      <c r="K94" s="9" t="s">
        <v>691</v>
      </c>
      <c r="L94" s="9" t="s">
        <v>247</v>
      </c>
      <c r="M94" s="10" t="s">
        <v>89</v>
      </c>
      <c r="N94" s="9" t="s">
        <v>90</v>
      </c>
    </row>
    <row r="95" spans="1:14" s="4" customFormat="1" x14ac:dyDescent="0.25">
      <c r="A95" s="12" t="s">
        <v>692</v>
      </c>
      <c r="B95" s="13" t="s">
        <v>668</v>
      </c>
      <c r="C95" s="13" t="s">
        <v>687</v>
      </c>
      <c r="D95" s="13" t="s">
        <v>693</v>
      </c>
      <c r="E95" s="14" t="s">
        <v>81</v>
      </c>
      <c r="F95" s="11" t="s">
        <v>82</v>
      </c>
      <c r="G95" s="14" t="s">
        <v>147</v>
      </c>
      <c r="H95" s="13" t="s">
        <v>694</v>
      </c>
      <c r="I95" s="13" t="s">
        <v>695</v>
      </c>
      <c r="J95" s="13" t="s">
        <v>696</v>
      </c>
      <c r="K95" s="13" t="s">
        <v>697</v>
      </c>
      <c r="L95" s="13" t="s">
        <v>105</v>
      </c>
      <c r="M95" s="14" t="s">
        <v>89</v>
      </c>
      <c r="N95" s="13" t="s">
        <v>679</v>
      </c>
    </row>
    <row r="96" spans="1:14" s="4" customFormat="1" x14ac:dyDescent="0.25">
      <c r="A96" s="8" t="s">
        <v>698</v>
      </c>
      <c r="B96" s="9" t="s">
        <v>668</v>
      </c>
      <c r="C96" s="9" t="s">
        <v>699</v>
      </c>
      <c r="D96" s="9" t="s">
        <v>700</v>
      </c>
      <c r="E96" s="10" t="s">
        <v>81</v>
      </c>
      <c r="F96" s="15" t="s">
        <v>146</v>
      </c>
      <c r="G96" s="10" t="s">
        <v>109</v>
      </c>
      <c r="H96" s="9" t="s">
        <v>701</v>
      </c>
      <c r="I96" s="9" t="s">
        <v>702</v>
      </c>
      <c r="J96" s="9" t="s">
        <v>183</v>
      </c>
      <c r="K96" s="9" t="s">
        <v>703</v>
      </c>
      <c r="L96" s="9" t="s">
        <v>105</v>
      </c>
      <c r="M96" s="10" t="s">
        <v>89</v>
      </c>
      <c r="N96" s="9" t="s">
        <v>90</v>
      </c>
    </row>
    <row r="97" spans="1:14" s="4" customFormat="1" x14ac:dyDescent="0.25">
      <c r="A97" s="12" t="s">
        <v>704</v>
      </c>
      <c r="B97" s="13" t="s">
        <v>668</v>
      </c>
      <c r="C97" s="13" t="s">
        <v>705</v>
      </c>
      <c r="D97" s="13" t="s">
        <v>706</v>
      </c>
      <c r="E97" s="14" t="s">
        <v>100</v>
      </c>
      <c r="F97" s="11" t="s">
        <v>82</v>
      </c>
      <c r="G97" s="14" t="s">
        <v>147</v>
      </c>
      <c r="H97" s="13" t="s">
        <v>707</v>
      </c>
      <c r="I97" s="13" t="s">
        <v>708</v>
      </c>
      <c r="J97" s="13" t="s">
        <v>709</v>
      </c>
      <c r="K97" s="13" t="s">
        <v>710</v>
      </c>
      <c r="L97" s="13" t="s">
        <v>247</v>
      </c>
      <c r="M97" s="14" t="s">
        <v>89</v>
      </c>
      <c r="N97" s="13" t="s">
        <v>90</v>
      </c>
    </row>
    <row r="98" spans="1:14" s="4" customFormat="1" x14ac:dyDescent="0.25">
      <c r="A98" s="8" t="s">
        <v>711</v>
      </c>
      <c r="B98" s="9" t="s">
        <v>668</v>
      </c>
      <c r="C98" s="9" t="s">
        <v>712</v>
      </c>
      <c r="D98" s="9" t="s">
        <v>713</v>
      </c>
      <c r="E98" s="10" t="s">
        <v>81</v>
      </c>
      <c r="F98" s="15" t="s">
        <v>146</v>
      </c>
      <c r="G98" s="10" t="s">
        <v>109</v>
      </c>
      <c r="H98" s="9" t="s">
        <v>714</v>
      </c>
      <c r="I98" s="9" t="s">
        <v>715</v>
      </c>
      <c r="J98" s="9" t="s">
        <v>716</v>
      </c>
      <c r="K98" s="9" t="s">
        <v>717</v>
      </c>
      <c r="L98" s="9" t="s">
        <v>105</v>
      </c>
      <c r="M98" s="10" t="s">
        <v>89</v>
      </c>
      <c r="N98" s="9" t="s">
        <v>90</v>
      </c>
    </row>
    <row r="99" spans="1:14" s="4" customFormat="1" x14ac:dyDescent="0.25">
      <c r="A99" s="12" t="s">
        <v>718</v>
      </c>
      <c r="B99" s="13" t="s">
        <v>668</v>
      </c>
      <c r="C99" s="13" t="s">
        <v>719</v>
      </c>
      <c r="D99" s="13" t="s">
        <v>720</v>
      </c>
      <c r="E99" s="14" t="s">
        <v>100</v>
      </c>
      <c r="F99" s="11" t="s">
        <v>82</v>
      </c>
      <c r="G99" s="14" t="s">
        <v>109</v>
      </c>
      <c r="H99" s="13" t="s">
        <v>721</v>
      </c>
      <c r="I99" s="13" t="s">
        <v>722</v>
      </c>
      <c r="J99" s="13" t="s">
        <v>723</v>
      </c>
      <c r="K99" s="13" t="s">
        <v>724</v>
      </c>
      <c r="L99" s="13" t="s">
        <v>105</v>
      </c>
      <c r="M99" s="14" t="s">
        <v>89</v>
      </c>
      <c r="N99" s="13" t="s">
        <v>90</v>
      </c>
    </row>
    <row r="100" spans="1:14" s="4" customFormat="1" x14ac:dyDescent="0.25">
      <c r="A100" s="8" t="s">
        <v>725</v>
      </c>
      <c r="B100" s="9" t="s">
        <v>726</v>
      </c>
      <c r="C100" s="9" t="s">
        <v>727</v>
      </c>
      <c r="D100" s="9" t="s">
        <v>728</v>
      </c>
      <c r="E100" s="10" t="s">
        <v>81</v>
      </c>
      <c r="F100" s="11" t="s">
        <v>82</v>
      </c>
      <c r="G100" s="10" t="s">
        <v>109</v>
      </c>
      <c r="H100" s="9" t="s">
        <v>729</v>
      </c>
      <c r="I100" s="9" t="s">
        <v>730</v>
      </c>
      <c r="J100" s="9" t="s">
        <v>731</v>
      </c>
      <c r="K100" s="9" t="s">
        <v>732</v>
      </c>
      <c r="L100" s="9" t="s">
        <v>733</v>
      </c>
      <c r="M100" s="10" t="s">
        <v>89</v>
      </c>
      <c r="N100" s="9" t="s">
        <v>734</v>
      </c>
    </row>
    <row r="101" spans="1:14" s="4" customFormat="1" x14ac:dyDescent="0.25">
      <c r="A101" s="12" t="s">
        <v>735</v>
      </c>
      <c r="B101" s="13" t="s">
        <v>726</v>
      </c>
      <c r="C101" s="13" t="s">
        <v>736</v>
      </c>
      <c r="D101" s="13" t="s">
        <v>737</v>
      </c>
      <c r="E101" s="14" t="s">
        <v>81</v>
      </c>
      <c r="F101" s="16" t="s">
        <v>327</v>
      </c>
      <c r="G101" s="14" t="s">
        <v>109</v>
      </c>
      <c r="H101" s="13" t="s">
        <v>614</v>
      </c>
      <c r="I101" s="13" t="s">
        <v>738</v>
      </c>
      <c r="J101" s="13" t="s">
        <v>183</v>
      </c>
      <c r="K101" s="13" t="s">
        <v>739</v>
      </c>
      <c r="L101" s="13" t="s">
        <v>105</v>
      </c>
      <c r="M101" s="14" t="s">
        <v>89</v>
      </c>
      <c r="N101" s="13" t="s">
        <v>90</v>
      </c>
    </row>
    <row r="102" spans="1:14" s="4" customFormat="1" x14ac:dyDescent="0.25">
      <c r="A102" s="8" t="s">
        <v>740</v>
      </c>
      <c r="B102" s="9" t="s">
        <v>726</v>
      </c>
      <c r="C102" s="9" t="s">
        <v>741</v>
      </c>
      <c r="D102" s="9" t="s">
        <v>742</v>
      </c>
      <c r="E102" s="10" t="s">
        <v>81</v>
      </c>
      <c r="F102" s="16" t="s">
        <v>327</v>
      </c>
      <c r="G102" s="10" t="s">
        <v>109</v>
      </c>
      <c r="H102" s="9" t="s">
        <v>743</v>
      </c>
      <c r="I102" s="9" t="s">
        <v>744</v>
      </c>
      <c r="J102" s="9" t="s">
        <v>745</v>
      </c>
      <c r="K102" s="9" t="s">
        <v>746</v>
      </c>
      <c r="L102" s="9" t="s">
        <v>105</v>
      </c>
      <c r="M102" s="10" t="s">
        <v>89</v>
      </c>
      <c r="N102" s="9" t="s">
        <v>90</v>
      </c>
    </row>
    <row r="103" spans="1:14" s="4" customFormat="1" x14ac:dyDescent="0.25">
      <c r="A103" s="12" t="s">
        <v>747</v>
      </c>
      <c r="B103" s="13" t="s">
        <v>726</v>
      </c>
      <c r="C103" s="13" t="s">
        <v>748</v>
      </c>
      <c r="D103" s="13" t="s">
        <v>749</v>
      </c>
      <c r="E103" s="14" t="s">
        <v>81</v>
      </c>
      <c r="F103" s="11" t="s">
        <v>82</v>
      </c>
      <c r="G103" s="14" t="s">
        <v>109</v>
      </c>
      <c r="H103" s="13" t="s">
        <v>614</v>
      </c>
      <c r="I103" s="13" t="s">
        <v>750</v>
      </c>
      <c r="J103" s="13" t="s">
        <v>183</v>
      </c>
      <c r="K103" s="13" t="s">
        <v>751</v>
      </c>
      <c r="L103" s="13" t="s">
        <v>733</v>
      </c>
      <c r="M103" s="14" t="s">
        <v>89</v>
      </c>
      <c r="N103" s="13" t="s">
        <v>90</v>
      </c>
    </row>
    <row r="104" spans="1:14" s="4" customFormat="1" x14ac:dyDescent="0.25">
      <c r="A104" s="8" t="s">
        <v>752</v>
      </c>
      <c r="B104" s="9" t="s">
        <v>726</v>
      </c>
      <c r="C104" s="9" t="s">
        <v>753</v>
      </c>
      <c r="D104" s="9" t="s">
        <v>754</v>
      </c>
      <c r="E104" s="10" t="s">
        <v>81</v>
      </c>
      <c r="F104" s="11" t="s">
        <v>82</v>
      </c>
      <c r="G104" s="10" t="s">
        <v>109</v>
      </c>
      <c r="H104" s="9" t="s">
        <v>755</v>
      </c>
      <c r="I104" s="9" t="s">
        <v>756</v>
      </c>
      <c r="J104" s="9" t="s">
        <v>183</v>
      </c>
      <c r="K104" s="9" t="s">
        <v>757</v>
      </c>
      <c r="L104" s="9" t="s">
        <v>733</v>
      </c>
      <c r="M104" s="10" t="s">
        <v>89</v>
      </c>
      <c r="N104" s="9" t="s">
        <v>90</v>
      </c>
    </row>
    <row r="105" spans="1:14" s="4" customFormat="1" x14ac:dyDescent="0.25">
      <c r="A105" s="12" t="s">
        <v>758</v>
      </c>
      <c r="B105" s="13" t="s">
        <v>726</v>
      </c>
      <c r="C105" s="13" t="s">
        <v>753</v>
      </c>
      <c r="D105" s="13" t="s">
        <v>759</v>
      </c>
      <c r="E105" s="14" t="s">
        <v>100</v>
      </c>
      <c r="F105" s="11" t="s">
        <v>82</v>
      </c>
      <c r="G105" s="14" t="s">
        <v>109</v>
      </c>
      <c r="H105" s="13" t="s">
        <v>760</v>
      </c>
      <c r="I105" s="13" t="s">
        <v>761</v>
      </c>
      <c r="J105" s="13" t="s">
        <v>183</v>
      </c>
      <c r="K105" s="13" t="s">
        <v>762</v>
      </c>
      <c r="L105" s="13" t="s">
        <v>733</v>
      </c>
      <c r="M105" s="14" t="s">
        <v>89</v>
      </c>
      <c r="N105" s="13" t="s">
        <v>763</v>
      </c>
    </row>
    <row r="106" spans="1:14" s="4" customFormat="1" x14ac:dyDescent="0.25">
      <c r="A106" s="8" t="s">
        <v>764</v>
      </c>
      <c r="B106" s="9" t="s">
        <v>726</v>
      </c>
      <c r="C106" s="9" t="s">
        <v>727</v>
      </c>
      <c r="D106" s="9" t="s">
        <v>765</v>
      </c>
      <c r="E106" s="10" t="s">
        <v>123</v>
      </c>
      <c r="F106" s="11" t="s">
        <v>82</v>
      </c>
      <c r="G106" s="10" t="s">
        <v>109</v>
      </c>
      <c r="H106" s="9" t="s">
        <v>766</v>
      </c>
      <c r="I106" s="9" t="s">
        <v>767</v>
      </c>
      <c r="J106" s="9" t="s">
        <v>768</v>
      </c>
      <c r="K106" s="9" t="s">
        <v>769</v>
      </c>
      <c r="L106" s="9" t="s">
        <v>733</v>
      </c>
      <c r="M106" s="10" t="s">
        <v>89</v>
      </c>
      <c r="N106" s="9" t="s">
        <v>90</v>
      </c>
    </row>
    <row r="107" spans="1:14" s="4" customFormat="1" x14ac:dyDescent="0.25">
      <c r="A107" s="12" t="s">
        <v>770</v>
      </c>
      <c r="B107" s="13" t="s">
        <v>726</v>
      </c>
      <c r="C107" s="13" t="s">
        <v>771</v>
      </c>
      <c r="D107" s="13" t="s">
        <v>772</v>
      </c>
      <c r="E107" s="14" t="s">
        <v>81</v>
      </c>
      <c r="F107" s="11" t="s">
        <v>82</v>
      </c>
      <c r="G107" s="14" t="s">
        <v>109</v>
      </c>
      <c r="H107" s="13" t="s">
        <v>773</v>
      </c>
      <c r="I107" s="13" t="s">
        <v>774</v>
      </c>
      <c r="J107" s="13" t="s">
        <v>775</v>
      </c>
      <c r="K107" s="13" t="s">
        <v>776</v>
      </c>
      <c r="L107" s="13" t="s">
        <v>733</v>
      </c>
      <c r="M107" s="14" t="s">
        <v>89</v>
      </c>
      <c r="N107" s="13" t="s">
        <v>90</v>
      </c>
    </row>
    <row r="108" spans="1:14" s="4" customFormat="1" x14ac:dyDescent="0.25">
      <c r="A108" s="8" t="s">
        <v>777</v>
      </c>
      <c r="B108" s="9" t="s">
        <v>726</v>
      </c>
      <c r="C108" s="9" t="s">
        <v>771</v>
      </c>
      <c r="D108" s="9" t="s">
        <v>778</v>
      </c>
      <c r="E108" s="10" t="s">
        <v>100</v>
      </c>
      <c r="F108" s="11" t="s">
        <v>82</v>
      </c>
      <c r="G108" s="10" t="s">
        <v>109</v>
      </c>
      <c r="H108" s="9" t="s">
        <v>760</v>
      </c>
      <c r="I108" s="9" t="s">
        <v>779</v>
      </c>
      <c r="J108" s="9" t="s">
        <v>780</v>
      </c>
      <c r="K108" s="9" t="s">
        <v>781</v>
      </c>
      <c r="L108" s="9" t="s">
        <v>733</v>
      </c>
      <c r="M108" s="10" t="s">
        <v>89</v>
      </c>
      <c r="N108" s="9" t="s">
        <v>763</v>
      </c>
    </row>
    <row r="109" spans="1:14" s="4" customFormat="1" x14ac:dyDescent="0.25">
      <c r="A109" s="12" t="s">
        <v>782</v>
      </c>
      <c r="B109" s="13" t="s">
        <v>726</v>
      </c>
      <c r="C109" s="13" t="s">
        <v>389</v>
      </c>
      <c r="D109" s="13" t="s">
        <v>783</v>
      </c>
      <c r="E109" s="14" t="s">
        <v>123</v>
      </c>
      <c r="F109" s="15" t="s">
        <v>146</v>
      </c>
      <c r="G109" s="14" t="s">
        <v>109</v>
      </c>
      <c r="H109" s="13" t="s">
        <v>784</v>
      </c>
      <c r="I109" s="13" t="s">
        <v>785</v>
      </c>
      <c r="J109" s="13" t="s">
        <v>183</v>
      </c>
      <c r="K109" s="13" t="s">
        <v>786</v>
      </c>
      <c r="L109" s="13" t="s">
        <v>309</v>
      </c>
      <c r="M109" s="14" t="s">
        <v>89</v>
      </c>
      <c r="N109" s="13" t="s">
        <v>90</v>
      </c>
    </row>
    <row r="110" spans="1:14" s="4" customFormat="1" x14ac:dyDescent="0.25">
      <c r="A110" s="8" t="s">
        <v>787</v>
      </c>
      <c r="B110" s="9" t="s">
        <v>788</v>
      </c>
      <c r="C110" s="9" t="s">
        <v>789</v>
      </c>
      <c r="D110" s="9" t="s">
        <v>790</v>
      </c>
      <c r="E110" s="10" t="s">
        <v>81</v>
      </c>
      <c r="F110" s="15" t="s">
        <v>146</v>
      </c>
      <c r="G110" s="10" t="s">
        <v>109</v>
      </c>
      <c r="H110" s="9" t="s">
        <v>791</v>
      </c>
      <c r="I110" s="9" t="s">
        <v>792</v>
      </c>
      <c r="J110" s="9" t="s">
        <v>183</v>
      </c>
      <c r="K110" s="9" t="s">
        <v>793</v>
      </c>
      <c r="L110" s="9" t="s">
        <v>794</v>
      </c>
      <c r="M110" s="10" t="s">
        <v>89</v>
      </c>
      <c r="N110" s="9" t="s">
        <v>90</v>
      </c>
    </row>
    <row r="111" spans="1:14" s="4" customFormat="1" x14ac:dyDescent="0.25">
      <c r="A111" s="12" t="s">
        <v>795</v>
      </c>
      <c r="B111" s="13" t="s">
        <v>788</v>
      </c>
      <c r="C111" s="13" t="s">
        <v>796</v>
      </c>
      <c r="D111" s="13" t="s">
        <v>797</v>
      </c>
      <c r="E111" s="14" t="s">
        <v>100</v>
      </c>
      <c r="F111" s="11" t="s">
        <v>82</v>
      </c>
      <c r="G111" s="14" t="s">
        <v>163</v>
      </c>
      <c r="H111" s="13" t="s">
        <v>243</v>
      </c>
      <c r="I111" s="13" t="s">
        <v>798</v>
      </c>
      <c r="J111" s="13" t="s">
        <v>799</v>
      </c>
      <c r="K111" s="13" t="s">
        <v>800</v>
      </c>
      <c r="L111" s="13" t="s">
        <v>794</v>
      </c>
      <c r="M111" s="14" t="s">
        <v>89</v>
      </c>
      <c r="N111" s="13" t="s">
        <v>90</v>
      </c>
    </row>
    <row r="112" spans="1:14" s="4" customFormat="1" x14ac:dyDescent="0.25">
      <c r="A112" s="8" t="s">
        <v>801</v>
      </c>
      <c r="B112" s="9" t="s">
        <v>788</v>
      </c>
      <c r="C112" s="9" t="s">
        <v>796</v>
      </c>
      <c r="D112" s="9" t="s">
        <v>802</v>
      </c>
      <c r="E112" s="10" t="s">
        <v>81</v>
      </c>
      <c r="F112" s="11" t="s">
        <v>82</v>
      </c>
      <c r="G112" s="10" t="s">
        <v>147</v>
      </c>
      <c r="H112" s="9" t="s">
        <v>279</v>
      </c>
      <c r="I112" s="9" t="s">
        <v>803</v>
      </c>
      <c r="J112" s="9" t="s">
        <v>799</v>
      </c>
      <c r="K112" s="9" t="s">
        <v>804</v>
      </c>
      <c r="L112" s="9" t="s">
        <v>794</v>
      </c>
      <c r="M112" s="10" t="s">
        <v>89</v>
      </c>
      <c r="N112" s="9" t="s">
        <v>90</v>
      </c>
    </row>
    <row r="113" spans="1:14" s="4" customFormat="1" x14ac:dyDescent="0.25">
      <c r="A113" s="12" t="s">
        <v>805</v>
      </c>
      <c r="B113" s="13" t="s">
        <v>806</v>
      </c>
      <c r="C113" s="13" t="s">
        <v>807</v>
      </c>
      <c r="D113" s="13" t="s">
        <v>808</v>
      </c>
      <c r="E113" s="14" t="s">
        <v>81</v>
      </c>
      <c r="F113" s="11" t="s">
        <v>82</v>
      </c>
      <c r="G113" s="14" t="s">
        <v>147</v>
      </c>
      <c r="H113" s="13" t="s">
        <v>809</v>
      </c>
      <c r="I113" s="13" t="s">
        <v>810</v>
      </c>
      <c r="J113" s="13" t="s">
        <v>183</v>
      </c>
      <c r="K113" s="13" t="s">
        <v>811</v>
      </c>
      <c r="L113" s="13" t="s">
        <v>812</v>
      </c>
      <c r="M113" s="14" t="s">
        <v>89</v>
      </c>
      <c r="N113" s="13" t="s">
        <v>90</v>
      </c>
    </row>
    <row r="114" spans="1:14" s="4" customFormat="1" x14ac:dyDescent="0.25">
      <c r="A114" s="8" t="s">
        <v>813</v>
      </c>
      <c r="B114" s="9" t="s">
        <v>806</v>
      </c>
      <c r="C114" s="9" t="s">
        <v>807</v>
      </c>
      <c r="D114" s="9" t="s">
        <v>814</v>
      </c>
      <c r="E114" s="10" t="s">
        <v>100</v>
      </c>
      <c r="F114" s="11" t="s">
        <v>82</v>
      </c>
      <c r="G114" s="10" t="s">
        <v>163</v>
      </c>
      <c r="H114" s="9" t="s">
        <v>243</v>
      </c>
      <c r="I114" s="9" t="s">
        <v>815</v>
      </c>
      <c r="J114" s="9" t="s">
        <v>183</v>
      </c>
      <c r="K114" s="9" t="s">
        <v>184</v>
      </c>
      <c r="L114" s="9" t="s">
        <v>812</v>
      </c>
      <c r="M114" s="10" t="s">
        <v>89</v>
      </c>
      <c r="N114" s="9" t="s">
        <v>90</v>
      </c>
    </row>
    <row r="115" spans="1:14" s="4" customFormat="1" x14ac:dyDescent="0.25">
      <c r="A115" s="12" t="s">
        <v>816</v>
      </c>
      <c r="B115" s="13" t="s">
        <v>806</v>
      </c>
      <c r="C115" s="13" t="s">
        <v>817</v>
      </c>
      <c r="D115" s="13" t="s">
        <v>818</v>
      </c>
      <c r="E115" s="14" t="s">
        <v>81</v>
      </c>
      <c r="F115" s="15" t="s">
        <v>146</v>
      </c>
      <c r="G115" s="14" t="s">
        <v>163</v>
      </c>
      <c r="H115" s="13" t="s">
        <v>819</v>
      </c>
      <c r="I115" s="13" t="s">
        <v>820</v>
      </c>
      <c r="J115" s="13" t="s">
        <v>821</v>
      </c>
      <c r="K115" s="13" t="s">
        <v>822</v>
      </c>
      <c r="L115" s="13" t="s">
        <v>812</v>
      </c>
      <c r="M115" s="14" t="s">
        <v>89</v>
      </c>
      <c r="N115" s="13" t="s">
        <v>90</v>
      </c>
    </row>
    <row r="116" spans="1:14" s="4" customFormat="1" x14ac:dyDescent="0.25">
      <c r="A116" s="8" t="s">
        <v>823</v>
      </c>
      <c r="B116" s="9" t="s">
        <v>806</v>
      </c>
      <c r="C116" s="9" t="s">
        <v>817</v>
      </c>
      <c r="D116" s="9" t="s">
        <v>824</v>
      </c>
      <c r="E116" s="10" t="s">
        <v>100</v>
      </c>
      <c r="F116" s="11" t="s">
        <v>82</v>
      </c>
      <c r="G116" s="10" t="s">
        <v>163</v>
      </c>
      <c r="H116" s="9" t="s">
        <v>825</v>
      </c>
      <c r="I116" s="9" t="s">
        <v>826</v>
      </c>
      <c r="J116" s="9" t="s">
        <v>827</v>
      </c>
      <c r="K116" s="9" t="s">
        <v>828</v>
      </c>
      <c r="L116" s="9" t="s">
        <v>812</v>
      </c>
      <c r="M116" s="10" t="s">
        <v>89</v>
      </c>
      <c r="N116" s="9" t="s">
        <v>90</v>
      </c>
    </row>
    <row r="117" spans="1:14" s="4" customFormat="1" x14ac:dyDescent="0.25">
      <c r="A117" s="12" t="s">
        <v>829</v>
      </c>
      <c r="B117" s="13" t="s">
        <v>806</v>
      </c>
      <c r="C117" s="13" t="s">
        <v>830</v>
      </c>
      <c r="D117" s="13" t="s">
        <v>831</v>
      </c>
      <c r="E117" s="14" t="s">
        <v>100</v>
      </c>
      <c r="F117" s="11" t="s">
        <v>82</v>
      </c>
      <c r="G117" s="14" t="s">
        <v>147</v>
      </c>
      <c r="H117" s="13" t="s">
        <v>279</v>
      </c>
      <c r="I117" s="13" t="s">
        <v>832</v>
      </c>
      <c r="J117" s="13" t="s">
        <v>833</v>
      </c>
      <c r="K117" s="13" t="s">
        <v>834</v>
      </c>
      <c r="L117" s="13" t="s">
        <v>135</v>
      </c>
      <c r="M117" s="14" t="s">
        <v>89</v>
      </c>
      <c r="N117" s="13" t="s">
        <v>90</v>
      </c>
    </row>
    <row r="118" spans="1:14" s="4" customFormat="1" x14ac:dyDescent="0.25">
      <c r="A118" s="8" t="s">
        <v>835</v>
      </c>
      <c r="B118" s="9" t="s">
        <v>836</v>
      </c>
      <c r="C118" s="9" t="s">
        <v>837</v>
      </c>
      <c r="D118" s="9" t="s">
        <v>838</v>
      </c>
      <c r="E118" s="10" t="s">
        <v>81</v>
      </c>
      <c r="F118" s="11" t="s">
        <v>82</v>
      </c>
      <c r="G118" s="10" t="s">
        <v>83</v>
      </c>
      <c r="H118" s="9" t="s">
        <v>839</v>
      </c>
      <c r="I118" s="9" t="s">
        <v>840</v>
      </c>
      <c r="J118" s="9" t="s">
        <v>183</v>
      </c>
      <c r="K118" s="9" t="s">
        <v>841</v>
      </c>
      <c r="L118" s="9" t="s">
        <v>842</v>
      </c>
      <c r="M118" s="10" t="s">
        <v>89</v>
      </c>
      <c r="N118" s="9" t="s">
        <v>90</v>
      </c>
    </row>
    <row r="119" spans="1:14" s="4" customFormat="1" x14ac:dyDescent="0.25">
      <c r="A119" s="12" t="s">
        <v>843</v>
      </c>
      <c r="B119" s="13" t="s">
        <v>836</v>
      </c>
      <c r="C119" s="13" t="s">
        <v>844</v>
      </c>
      <c r="D119" s="13" t="s">
        <v>845</v>
      </c>
      <c r="E119" s="14" t="s">
        <v>100</v>
      </c>
      <c r="F119" s="11" t="s">
        <v>82</v>
      </c>
      <c r="G119" s="14" t="s">
        <v>163</v>
      </c>
      <c r="H119" s="13" t="s">
        <v>243</v>
      </c>
      <c r="I119" s="13" t="s">
        <v>846</v>
      </c>
      <c r="J119" s="13" t="s">
        <v>847</v>
      </c>
      <c r="K119" s="13" t="s">
        <v>184</v>
      </c>
      <c r="L119" s="13" t="s">
        <v>842</v>
      </c>
      <c r="M119" s="14" t="s">
        <v>89</v>
      </c>
      <c r="N119" s="13" t="s">
        <v>90</v>
      </c>
    </row>
    <row r="120" spans="1:14" s="4" customFormat="1" x14ac:dyDescent="0.25">
      <c r="A120" s="8" t="s">
        <v>848</v>
      </c>
      <c r="B120" s="9" t="s">
        <v>836</v>
      </c>
      <c r="C120" s="9" t="s">
        <v>844</v>
      </c>
      <c r="D120" s="9" t="s">
        <v>849</v>
      </c>
      <c r="E120" s="10" t="s">
        <v>81</v>
      </c>
      <c r="F120" s="11" t="s">
        <v>82</v>
      </c>
      <c r="G120" s="10" t="s">
        <v>147</v>
      </c>
      <c r="H120" s="9" t="s">
        <v>279</v>
      </c>
      <c r="I120" s="9" t="s">
        <v>850</v>
      </c>
      <c r="J120" s="9" t="s">
        <v>851</v>
      </c>
      <c r="K120" s="9" t="s">
        <v>852</v>
      </c>
      <c r="L120" s="9" t="s">
        <v>842</v>
      </c>
      <c r="M120" s="10" t="s">
        <v>89</v>
      </c>
      <c r="N120" s="9" t="s">
        <v>90</v>
      </c>
    </row>
    <row r="121" spans="1:14" s="4" customFormat="1" x14ac:dyDescent="0.25">
      <c r="A121" s="12" t="s">
        <v>853</v>
      </c>
      <c r="B121" s="13" t="s">
        <v>836</v>
      </c>
      <c r="C121" s="13" t="s">
        <v>854</v>
      </c>
      <c r="D121" s="13" t="s">
        <v>855</v>
      </c>
      <c r="E121" s="14" t="s">
        <v>81</v>
      </c>
      <c r="F121" s="11" t="s">
        <v>82</v>
      </c>
      <c r="G121" s="14" t="s">
        <v>147</v>
      </c>
      <c r="H121" s="13" t="s">
        <v>856</v>
      </c>
      <c r="I121" s="13" t="s">
        <v>857</v>
      </c>
      <c r="J121" s="13" t="s">
        <v>858</v>
      </c>
      <c r="K121" s="13" t="s">
        <v>859</v>
      </c>
      <c r="L121" s="13" t="s">
        <v>842</v>
      </c>
      <c r="M121" s="14" t="s">
        <v>89</v>
      </c>
      <c r="N121" s="13" t="s">
        <v>90</v>
      </c>
    </row>
    <row r="122" spans="1:14" s="4" customFormat="1" x14ac:dyDescent="0.25">
      <c r="A122" s="8" t="s">
        <v>860</v>
      </c>
      <c r="B122" s="9" t="s">
        <v>836</v>
      </c>
      <c r="C122" s="9" t="s">
        <v>854</v>
      </c>
      <c r="D122" s="9" t="s">
        <v>861</v>
      </c>
      <c r="E122" s="10" t="s">
        <v>81</v>
      </c>
      <c r="F122" s="15" t="s">
        <v>146</v>
      </c>
      <c r="G122" s="10" t="s">
        <v>147</v>
      </c>
      <c r="H122" s="9" t="s">
        <v>862</v>
      </c>
      <c r="I122" s="9" t="s">
        <v>863</v>
      </c>
      <c r="J122" s="9" t="s">
        <v>335</v>
      </c>
      <c r="K122" s="9" t="s">
        <v>864</v>
      </c>
      <c r="L122" s="9" t="s">
        <v>842</v>
      </c>
      <c r="M122" s="10" t="s">
        <v>89</v>
      </c>
      <c r="N122" s="9" t="s">
        <v>90</v>
      </c>
    </row>
    <row r="123" spans="1:14" s="4" customFormat="1" x14ac:dyDescent="0.25">
      <c r="A123" s="12" t="s">
        <v>865</v>
      </c>
      <c r="B123" s="13" t="s">
        <v>836</v>
      </c>
      <c r="C123" s="13" t="s">
        <v>866</v>
      </c>
      <c r="D123" s="13" t="s">
        <v>867</v>
      </c>
      <c r="E123" s="14" t="s">
        <v>81</v>
      </c>
      <c r="F123" s="16" t="s">
        <v>327</v>
      </c>
      <c r="G123" s="14" t="s">
        <v>147</v>
      </c>
      <c r="H123" s="13" t="s">
        <v>868</v>
      </c>
      <c r="I123" s="13" t="s">
        <v>869</v>
      </c>
      <c r="J123" s="13" t="s">
        <v>183</v>
      </c>
      <c r="K123" s="13" t="s">
        <v>870</v>
      </c>
      <c r="L123" s="13" t="s">
        <v>842</v>
      </c>
      <c r="M123" s="14" t="s">
        <v>89</v>
      </c>
      <c r="N123" s="13" t="s">
        <v>90</v>
      </c>
    </row>
    <row r="124" spans="1:14" s="4" customFormat="1" x14ac:dyDescent="0.25">
      <c r="A124" s="8" t="s">
        <v>871</v>
      </c>
      <c r="B124" s="9" t="s">
        <v>836</v>
      </c>
      <c r="C124" s="9" t="s">
        <v>872</v>
      </c>
      <c r="D124" s="9" t="s">
        <v>873</v>
      </c>
      <c r="E124" s="10" t="s">
        <v>81</v>
      </c>
      <c r="F124" s="15" t="s">
        <v>146</v>
      </c>
      <c r="G124" s="10" t="s">
        <v>147</v>
      </c>
      <c r="H124" s="9" t="s">
        <v>874</v>
      </c>
      <c r="I124" s="9" t="s">
        <v>875</v>
      </c>
      <c r="J124" s="9" t="s">
        <v>876</v>
      </c>
      <c r="K124" s="9" t="s">
        <v>877</v>
      </c>
      <c r="L124" s="9" t="s">
        <v>842</v>
      </c>
      <c r="M124" s="10" t="s">
        <v>89</v>
      </c>
      <c r="N124" s="9" t="s">
        <v>90</v>
      </c>
    </row>
    <row r="125" spans="1:14" s="4" customFormat="1" x14ac:dyDescent="0.25">
      <c r="A125" s="12" t="s">
        <v>878</v>
      </c>
      <c r="B125" s="13" t="s">
        <v>879</v>
      </c>
      <c r="C125" s="13" t="s">
        <v>880</v>
      </c>
      <c r="D125" s="13" t="s">
        <v>881</v>
      </c>
      <c r="E125" s="14" t="s">
        <v>81</v>
      </c>
      <c r="F125" s="11" t="s">
        <v>82</v>
      </c>
      <c r="G125" s="14" t="s">
        <v>109</v>
      </c>
      <c r="H125" s="13" t="s">
        <v>882</v>
      </c>
      <c r="I125" s="13" t="s">
        <v>883</v>
      </c>
      <c r="J125" s="13" t="s">
        <v>884</v>
      </c>
      <c r="K125" s="13" t="s">
        <v>885</v>
      </c>
      <c r="L125" s="13" t="s">
        <v>596</v>
      </c>
      <c r="M125" s="14" t="s">
        <v>89</v>
      </c>
      <c r="N125" s="13" t="s">
        <v>90</v>
      </c>
    </row>
    <row r="126" spans="1:14" s="4" customFormat="1" x14ac:dyDescent="0.25">
      <c r="A126" s="8" t="s">
        <v>886</v>
      </c>
      <c r="B126" s="9" t="s">
        <v>879</v>
      </c>
      <c r="C126" s="9" t="s">
        <v>880</v>
      </c>
      <c r="D126" s="9" t="s">
        <v>887</v>
      </c>
      <c r="E126" s="10" t="s">
        <v>81</v>
      </c>
      <c r="F126" s="15" t="s">
        <v>146</v>
      </c>
      <c r="G126" s="10" t="s">
        <v>109</v>
      </c>
      <c r="H126" s="9" t="s">
        <v>888</v>
      </c>
      <c r="I126" s="9" t="s">
        <v>889</v>
      </c>
      <c r="J126" s="9" t="s">
        <v>890</v>
      </c>
      <c r="K126" s="9" t="s">
        <v>891</v>
      </c>
      <c r="L126" s="9" t="s">
        <v>596</v>
      </c>
      <c r="M126" s="10" t="s">
        <v>89</v>
      </c>
      <c r="N126" s="9" t="s">
        <v>90</v>
      </c>
    </row>
    <row r="127" spans="1:14" s="4" customFormat="1" x14ac:dyDescent="0.25">
      <c r="A127" s="12" t="s">
        <v>892</v>
      </c>
      <c r="B127" s="13" t="s">
        <v>879</v>
      </c>
      <c r="C127" s="13" t="s">
        <v>880</v>
      </c>
      <c r="D127" s="13" t="s">
        <v>893</v>
      </c>
      <c r="E127" s="14" t="s">
        <v>81</v>
      </c>
      <c r="F127" s="15" t="s">
        <v>146</v>
      </c>
      <c r="G127" s="14" t="s">
        <v>109</v>
      </c>
      <c r="H127" s="13" t="s">
        <v>894</v>
      </c>
      <c r="I127" s="13" t="s">
        <v>895</v>
      </c>
      <c r="J127" s="13" t="s">
        <v>896</v>
      </c>
      <c r="K127" s="13" t="s">
        <v>897</v>
      </c>
      <c r="L127" s="13" t="s">
        <v>596</v>
      </c>
      <c r="M127" s="14" t="s">
        <v>89</v>
      </c>
      <c r="N127" s="13" t="s">
        <v>90</v>
      </c>
    </row>
    <row r="128" spans="1:14" s="4" customFormat="1" x14ac:dyDescent="0.25">
      <c r="A128" s="8" t="s">
        <v>898</v>
      </c>
      <c r="B128" s="9" t="s">
        <v>879</v>
      </c>
      <c r="C128" s="9" t="s">
        <v>880</v>
      </c>
      <c r="D128" s="9" t="s">
        <v>899</v>
      </c>
      <c r="E128" s="10" t="s">
        <v>81</v>
      </c>
      <c r="F128" s="15" t="s">
        <v>146</v>
      </c>
      <c r="G128" s="10" t="s">
        <v>109</v>
      </c>
      <c r="H128" s="9" t="s">
        <v>900</v>
      </c>
      <c r="I128" s="9" t="s">
        <v>901</v>
      </c>
      <c r="J128" s="9" t="s">
        <v>902</v>
      </c>
      <c r="K128" s="9" t="s">
        <v>903</v>
      </c>
      <c r="L128" s="9" t="s">
        <v>596</v>
      </c>
      <c r="M128" s="10" t="s">
        <v>89</v>
      </c>
      <c r="N128" s="9" t="s">
        <v>90</v>
      </c>
    </row>
    <row r="129" spans="1:14" s="4" customFormat="1" x14ac:dyDescent="0.25">
      <c r="A129" s="12" t="s">
        <v>904</v>
      </c>
      <c r="B129" s="13" t="s">
        <v>879</v>
      </c>
      <c r="C129" s="13" t="s">
        <v>880</v>
      </c>
      <c r="D129" s="13" t="s">
        <v>905</v>
      </c>
      <c r="E129" s="14" t="s">
        <v>81</v>
      </c>
      <c r="F129" s="16" t="s">
        <v>327</v>
      </c>
      <c r="G129" s="14" t="s">
        <v>109</v>
      </c>
      <c r="H129" s="13" t="s">
        <v>906</v>
      </c>
      <c r="I129" s="13" t="s">
        <v>907</v>
      </c>
      <c r="J129" s="13" t="s">
        <v>908</v>
      </c>
      <c r="K129" s="13" t="s">
        <v>909</v>
      </c>
      <c r="L129" s="13" t="s">
        <v>910</v>
      </c>
      <c r="M129" s="14" t="s">
        <v>89</v>
      </c>
      <c r="N129" s="13" t="s">
        <v>90</v>
      </c>
    </row>
    <row r="130" spans="1:14" s="4" customFormat="1" x14ac:dyDescent="0.25">
      <c r="A130" s="8" t="s">
        <v>911</v>
      </c>
      <c r="B130" s="9" t="s">
        <v>879</v>
      </c>
      <c r="C130" s="9" t="s">
        <v>880</v>
      </c>
      <c r="D130" s="9" t="s">
        <v>912</v>
      </c>
      <c r="E130" s="10" t="s">
        <v>81</v>
      </c>
      <c r="F130" s="15" t="s">
        <v>146</v>
      </c>
      <c r="G130" s="10" t="s">
        <v>109</v>
      </c>
      <c r="H130" s="9" t="s">
        <v>913</v>
      </c>
      <c r="I130" s="9" t="s">
        <v>914</v>
      </c>
      <c r="J130" s="9" t="s">
        <v>915</v>
      </c>
      <c r="K130" s="9" t="s">
        <v>916</v>
      </c>
      <c r="L130" s="9" t="s">
        <v>910</v>
      </c>
      <c r="M130" s="10" t="s">
        <v>89</v>
      </c>
      <c r="N130" s="9" t="s">
        <v>90</v>
      </c>
    </row>
    <row r="131" spans="1:14" s="4" customFormat="1" x14ac:dyDescent="0.25">
      <c r="A131" s="12" t="s">
        <v>917</v>
      </c>
      <c r="B131" s="13" t="s">
        <v>879</v>
      </c>
      <c r="C131" s="13" t="s">
        <v>880</v>
      </c>
      <c r="D131" s="13" t="s">
        <v>918</v>
      </c>
      <c r="E131" s="14" t="s">
        <v>81</v>
      </c>
      <c r="F131" s="11" t="s">
        <v>82</v>
      </c>
      <c r="G131" s="14" t="s">
        <v>109</v>
      </c>
      <c r="H131" s="13" t="s">
        <v>919</v>
      </c>
      <c r="I131" s="13" t="s">
        <v>920</v>
      </c>
      <c r="J131" s="13" t="s">
        <v>921</v>
      </c>
      <c r="K131" s="13" t="s">
        <v>922</v>
      </c>
      <c r="L131" s="13" t="s">
        <v>910</v>
      </c>
      <c r="M131" s="14" t="s">
        <v>89</v>
      </c>
      <c r="N131" s="13" t="s">
        <v>90</v>
      </c>
    </row>
    <row r="132" spans="1:14" s="4" customFormat="1" x14ac:dyDescent="0.25">
      <c r="A132" s="8" t="s">
        <v>923</v>
      </c>
      <c r="B132" s="9" t="s">
        <v>879</v>
      </c>
      <c r="C132" s="9" t="s">
        <v>880</v>
      </c>
      <c r="D132" s="9" t="s">
        <v>924</v>
      </c>
      <c r="E132" s="10" t="s">
        <v>81</v>
      </c>
      <c r="F132" s="15" t="s">
        <v>146</v>
      </c>
      <c r="G132" s="10" t="s">
        <v>109</v>
      </c>
      <c r="H132" s="9" t="s">
        <v>925</v>
      </c>
      <c r="I132" s="9" t="s">
        <v>926</v>
      </c>
      <c r="J132" s="9" t="s">
        <v>927</v>
      </c>
      <c r="K132" s="9" t="s">
        <v>928</v>
      </c>
      <c r="L132" s="9" t="s">
        <v>910</v>
      </c>
      <c r="M132" s="10" t="s">
        <v>89</v>
      </c>
      <c r="N132" s="9" t="s">
        <v>90</v>
      </c>
    </row>
    <row r="133" spans="1:14" s="4" customFormat="1" x14ac:dyDescent="0.25">
      <c r="A133" s="12" t="s">
        <v>929</v>
      </c>
      <c r="B133" s="13" t="s">
        <v>930</v>
      </c>
      <c r="C133" s="13" t="s">
        <v>931</v>
      </c>
      <c r="D133" s="13" t="s">
        <v>932</v>
      </c>
      <c r="E133" s="14" t="s">
        <v>123</v>
      </c>
      <c r="F133" s="11" t="s">
        <v>82</v>
      </c>
      <c r="G133" s="14" t="s">
        <v>147</v>
      </c>
      <c r="H133" s="13" t="s">
        <v>933</v>
      </c>
      <c r="I133" s="13" t="s">
        <v>934</v>
      </c>
      <c r="J133" s="13" t="s">
        <v>935</v>
      </c>
      <c r="K133" s="13" t="s">
        <v>936</v>
      </c>
      <c r="L133" s="13" t="s">
        <v>937</v>
      </c>
      <c r="M133" s="14" t="s">
        <v>89</v>
      </c>
      <c r="N133" s="13" t="s">
        <v>90</v>
      </c>
    </row>
    <row r="134" spans="1:14" s="4" customFormat="1" x14ac:dyDescent="0.25">
      <c r="A134" s="8" t="s">
        <v>938</v>
      </c>
      <c r="B134" s="9" t="s">
        <v>930</v>
      </c>
      <c r="C134" s="9" t="s">
        <v>931</v>
      </c>
      <c r="D134" s="9" t="s">
        <v>939</v>
      </c>
      <c r="E134" s="10" t="s">
        <v>100</v>
      </c>
      <c r="F134" s="11" t="s">
        <v>82</v>
      </c>
      <c r="G134" s="10" t="s">
        <v>147</v>
      </c>
      <c r="H134" s="9" t="s">
        <v>940</v>
      </c>
      <c r="I134" s="9" t="s">
        <v>941</v>
      </c>
      <c r="J134" s="9" t="s">
        <v>942</v>
      </c>
      <c r="K134" s="9" t="s">
        <v>943</v>
      </c>
      <c r="L134" s="9" t="s">
        <v>937</v>
      </c>
      <c r="M134" s="10" t="s">
        <v>89</v>
      </c>
      <c r="N134" s="9" t="s">
        <v>90</v>
      </c>
    </row>
    <row r="135" spans="1:14" s="4" customFormat="1" x14ac:dyDescent="0.25">
      <c r="A135" s="12" t="s">
        <v>944</v>
      </c>
      <c r="B135" s="13" t="s">
        <v>930</v>
      </c>
      <c r="C135" s="13" t="s">
        <v>931</v>
      </c>
      <c r="D135" s="13" t="s">
        <v>945</v>
      </c>
      <c r="E135" s="14" t="s">
        <v>100</v>
      </c>
      <c r="F135" s="15" t="s">
        <v>146</v>
      </c>
      <c r="G135" s="14" t="s">
        <v>147</v>
      </c>
      <c r="H135" s="13" t="s">
        <v>946</v>
      </c>
      <c r="I135" s="13" t="s">
        <v>947</v>
      </c>
      <c r="J135" s="13" t="s">
        <v>948</v>
      </c>
      <c r="K135" s="13" t="s">
        <v>949</v>
      </c>
      <c r="L135" s="13" t="s">
        <v>937</v>
      </c>
      <c r="M135" s="14" t="s">
        <v>89</v>
      </c>
      <c r="N135" s="13" t="s">
        <v>90</v>
      </c>
    </row>
    <row r="136" spans="1:14" s="4" customFormat="1" x14ac:dyDescent="0.25">
      <c r="A136" s="8" t="s">
        <v>950</v>
      </c>
      <c r="B136" s="9" t="s">
        <v>930</v>
      </c>
      <c r="C136" s="9" t="s">
        <v>931</v>
      </c>
      <c r="D136" s="9" t="s">
        <v>951</v>
      </c>
      <c r="E136" s="10" t="s">
        <v>81</v>
      </c>
      <c r="F136" s="15" t="s">
        <v>146</v>
      </c>
      <c r="G136" s="10" t="s">
        <v>147</v>
      </c>
      <c r="H136" s="9" t="s">
        <v>952</v>
      </c>
      <c r="I136" s="9" t="s">
        <v>953</v>
      </c>
      <c r="J136" s="9" t="s">
        <v>954</v>
      </c>
      <c r="K136" s="9" t="s">
        <v>955</v>
      </c>
      <c r="L136" s="9" t="s">
        <v>937</v>
      </c>
      <c r="M136" s="10" t="s">
        <v>89</v>
      </c>
      <c r="N136" s="9" t="s">
        <v>90</v>
      </c>
    </row>
    <row r="137" spans="1:14" s="4" customFormat="1" x14ac:dyDescent="0.25">
      <c r="A137" s="12" t="s">
        <v>956</v>
      </c>
      <c r="B137" s="13" t="s">
        <v>930</v>
      </c>
      <c r="C137" s="13" t="s">
        <v>931</v>
      </c>
      <c r="D137" s="13" t="s">
        <v>957</v>
      </c>
      <c r="E137" s="14" t="s">
        <v>81</v>
      </c>
      <c r="F137" s="16" t="s">
        <v>327</v>
      </c>
      <c r="G137" s="14" t="s">
        <v>147</v>
      </c>
      <c r="H137" s="13" t="s">
        <v>958</v>
      </c>
      <c r="I137" s="13" t="s">
        <v>959</v>
      </c>
      <c r="J137" s="13" t="s">
        <v>960</v>
      </c>
      <c r="K137" s="13" t="s">
        <v>961</v>
      </c>
      <c r="L137" s="13" t="s">
        <v>937</v>
      </c>
      <c r="M137" s="14" t="s">
        <v>89</v>
      </c>
      <c r="N137" s="13" t="s">
        <v>90</v>
      </c>
    </row>
    <row r="138" spans="1:14" s="4" customFormat="1" x14ac:dyDescent="0.25">
      <c r="A138" s="8" t="s">
        <v>962</v>
      </c>
      <c r="B138" s="9" t="s">
        <v>930</v>
      </c>
      <c r="C138" s="9" t="s">
        <v>963</v>
      </c>
      <c r="D138" s="9" t="s">
        <v>964</v>
      </c>
      <c r="E138" s="10" t="s">
        <v>100</v>
      </c>
      <c r="F138" s="11" t="s">
        <v>82</v>
      </c>
      <c r="G138" s="10" t="s">
        <v>147</v>
      </c>
      <c r="H138" s="9" t="s">
        <v>965</v>
      </c>
      <c r="I138" s="9" t="s">
        <v>966</v>
      </c>
      <c r="J138" s="9" t="s">
        <v>967</v>
      </c>
      <c r="K138" s="9" t="s">
        <v>968</v>
      </c>
      <c r="L138" s="9" t="s">
        <v>969</v>
      </c>
      <c r="M138" s="10" t="s">
        <v>89</v>
      </c>
      <c r="N138" s="9" t="s">
        <v>90</v>
      </c>
    </row>
    <row r="139" spans="1:14" s="4" customFormat="1" x14ac:dyDescent="0.25">
      <c r="A139" s="12" t="s">
        <v>970</v>
      </c>
      <c r="B139" s="13" t="s">
        <v>930</v>
      </c>
      <c r="C139" s="13" t="s">
        <v>971</v>
      </c>
      <c r="D139" s="13" t="s">
        <v>972</v>
      </c>
      <c r="E139" s="14" t="s">
        <v>123</v>
      </c>
      <c r="F139" s="15" t="s">
        <v>146</v>
      </c>
      <c r="G139" s="14" t="s">
        <v>147</v>
      </c>
      <c r="H139" s="13" t="s">
        <v>973</v>
      </c>
      <c r="I139" s="13" t="s">
        <v>974</v>
      </c>
      <c r="J139" s="13" t="s">
        <v>975</v>
      </c>
      <c r="K139" s="13" t="s">
        <v>976</v>
      </c>
      <c r="L139" s="13" t="s">
        <v>977</v>
      </c>
      <c r="M139" s="14" t="s">
        <v>89</v>
      </c>
      <c r="N139" s="13" t="s">
        <v>90</v>
      </c>
    </row>
    <row r="140" spans="1:14" s="4" customFormat="1" x14ac:dyDescent="0.25">
      <c r="A140" s="8" t="s">
        <v>978</v>
      </c>
      <c r="B140" s="9" t="s">
        <v>930</v>
      </c>
      <c r="C140" s="9" t="s">
        <v>979</v>
      </c>
      <c r="D140" s="9" t="s">
        <v>980</v>
      </c>
      <c r="E140" s="10" t="s">
        <v>981</v>
      </c>
      <c r="F140" s="15" t="s">
        <v>146</v>
      </c>
      <c r="G140" s="10" t="s">
        <v>147</v>
      </c>
      <c r="H140" s="9" t="s">
        <v>982</v>
      </c>
      <c r="I140" s="9" t="s">
        <v>983</v>
      </c>
      <c r="J140" s="9" t="s">
        <v>984</v>
      </c>
      <c r="K140" s="9" t="s">
        <v>985</v>
      </c>
      <c r="L140" s="9" t="s">
        <v>986</v>
      </c>
      <c r="M140" s="10" t="s">
        <v>89</v>
      </c>
      <c r="N140" s="9" t="s">
        <v>987</v>
      </c>
    </row>
    <row r="141" spans="1:14" s="4" customFormat="1" x14ac:dyDescent="0.25">
      <c r="A141" s="12" t="s">
        <v>988</v>
      </c>
      <c r="B141" s="13" t="s">
        <v>989</v>
      </c>
      <c r="C141" s="13" t="s">
        <v>990</v>
      </c>
      <c r="D141" s="13" t="s">
        <v>991</v>
      </c>
      <c r="E141" s="14" t="s">
        <v>81</v>
      </c>
      <c r="F141" s="11" t="s">
        <v>82</v>
      </c>
      <c r="G141" s="14" t="s">
        <v>83</v>
      </c>
      <c r="H141" s="13" t="s">
        <v>992</v>
      </c>
      <c r="I141" s="13" t="s">
        <v>993</v>
      </c>
      <c r="J141" s="13" t="s">
        <v>994</v>
      </c>
      <c r="K141" s="13" t="s">
        <v>995</v>
      </c>
      <c r="L141" s="13" t="s">
        <v>105</v>
      </c>
      <c r="M141" s="14" t="s">
        <v>89</v>
      </c>
      <c r="N141" s="13" t="s">
        <v>996</v>
      </c>
    </row>
    <row r="142" spans="1:14" s="4" customFormat="1" x14ac:dyDescent="0.25">
      <c r="A142" s="8" t="s">
        <v>997</v>
      </c>
      <c r="B142" s="9" t="s">
        <v>989</v>
      </c>
      <c r="C142" s="9" t="s">
        <v>998</v>
      </c>
      <c r="D142" s="9" t="s">
        <v>999</v>
      </c>
      <c r="E142" s="10" t="s">
        <v>81</v>
      </c>
      <c r="F142" s="15" t="s">
        <v>146</v>
      </c>
      <c r="G142" s="10" t="s">
        <v>83</v>
      </c>
      <c r="H142" s="9" t="s">
        <v>1000</v>
      </c>
      <c r="I142" s="9" t="s">
        <v>1001</v>
      </c>
      <c r="J142" s="9" t="s">
        <v>1002</v>
      </c>
      <c r="K142" s="9" t="s">
        <v>1003</v>
      </c>
      <c r="L142" s="9" t="s">
        <v>105</v>
      </c>
      <c r="M142" s="10" t="s">
        <v>89</v>
      </c>
      <c r="N142" s="9" t="s">
        <v>1004</v>
      </c>
    </row>
    <row r="143" spans="1:14" s="4" customFormat="1" x14ac:dyDescent="0.25">
      <c r="A143" s="12" t="s">
        <v>1005</v>
      </c>
      <c r="B143" s="13" t="s">
        <v>989</v>
      </c>
      <c r="C143" s="13" t="s">
        <v>1006</v>
      </c>
      <c r="D143" s="13" t="s">
        <v>1007</v>
      </c>
      <c r="E143" s="14" t="s">
        <v>100</v>
      </c>
      <c r="F143" s="11" t="s">
        <v>82</v>
      </c>
      <c r="G143" s="14" t="s">
        <v>83</v>
      </c>
      <c r="H143" s="13" t="s">
        <v>1008</v>
      </c>
      <c r="I143" s="13" t="s">
        <v>1009</v>
      </c>
      <c r="J143" s="13" t="s">
        <v>183</v>
      </c>
      <c r="K143" s="13" t="s">
        <v>1010</v>
      </c>
      <c r="L143" s="13" t="s">
        <v>105</v>
      </c>
      <c r="M143" s="14" t="s">
        <v>89</v>
      </c>
      <c r="N143" s="13" t="s">
        <v>1011</v>
      </c>
    </row>
    <row r="144" spans="1:14" s="4" customFormat="1" x14ac:dyDescent="0.25">
      <c r="A144" s="8" t="s">
        <v>1012</v>
      </c>
      <c r="B144" s="9" t="s">
        <v>989</v>
      </c>
      <c r="C144" s="9" t="s">
        <v>1006</v>
      </c>
      <c r="D144" s="9" t="s">
        <v>1013</v>
      </c>
      <c r="E144" s="10" t="s">
        <v>100</v>
      </c>
      <c r="F144" s="11" t="s">
        <v>82</v>
      </c>
      <c r="G144" s="10" t="s">
        <v>163</v>
      </c>
      <c r="H144" s="9" t="s">
        <v>235</v>
      </c>
      <c r="I144" s="9" t="s">
        <v>1014</v>
      </c>
      <c r="J144" s="9" t="s">
        <v>183</v>
      </c>
      <c r="K144" s="9" t="s">
        <v>1015</v>
      </c>
      <c r="L144" s="9" t="s">
        <v>105</v>
      </c>
      <c r="M144" s="10" t="s">
        <v>89</v>
      </c>
      <c r="N144" s="9" t="s">
        <v>1011</v>
      </c>
    </row>
    <row r="145" spans="1:14" s="4" customFormat="1" x14ac:dyDescent="0.25">
      <c r="A145" s="12" t="s">
        <v>1016</v>
      </c>
      <c r="B145" s="13" t="s">
        <v>989</v>
      </c>
      <c r="C145" s="13" t="s">
        <v>1017</v>
      </c>
      <c r="D145" s="13" t="s">
        <v>1018</v>
      </c>
      <c r="E145" s="14" t="s">
        <v>81</v>
      </c>
      <c r="F145" s="15" t="s">
        <v>146</v>
      </c>
      <c r="G145" s="14" t="s">
        <v>109</v>
      </c>
      <c r="H145" s="13" t="s">
        <v>1019</v>
      </c>
      <c r="I145" s="13" t="s">
        <v>1020</v>
      </c>
      <c r="J145" s="13" t="s">
        <v>183</v>
      </c>
      <c r="K145" s="13" t="s">
        <v>1021</v>
      </c>
      <c r="L145" s="13" t="s">
        <v>105</v>
      </c>
      <c r="M145" s="14" t="s">
        <v>89</v>
      </c>
      <c r="N145" s="13" t="s">
        <v>90</v>
      </c>
    </row>
    <row r="146" spans="1:14" s="4" customFormat="1" x14ac:dyDescent="0.25">
      <c r="A146" s="8" t="s">
        <v>1022</v>
      </c>
      <c r="B146" s="9" t="s">
        <v>989</v>
      </c>
      <c r="C146" s="9" t="s">
        <v>1023</v>
      </c>
      <c r="D146" s="9" t="s">
        <v>1024</v>
      </c>
      <c r="E146" s="10" t="s">
        <v>81</v>
      </c>
      <c r="F146" s="11" t="s">
        <v>82</v>
      </c>
      <c r="G146" s="10" t="s">
        <v>109</v>
      </c>
      <c r="H146" s="9" t="s">
        <v>1025</v>
      </c>
      <c r="I146" s="9" t="s">
        <v>1026</v>
      </c>
      <c r="J146" s="9" t="s">
        <v>1027</v>
      </c>
      <c r="K146" s="9" t="s">
        <v>1028</v>
      </c>
      <c r="L146" s="9" t="s">
        <v>105</v>
      </c>
      <c r="M146" s="10" t="s">
        <v>89</v>
      </c>
      <c r="N146" s="9" t="s">
        <v>1029</v>
      </c>
    </row>
    <row r="147" spans="1:14" s="4" customFormat="1" x14ac:dyDescent="0.25">
      <c r="A147" s="12" t="s">
        <v>1030</v>
      </c>
      <c r="B147" s="13" t="s">
        <v>989</v>
      </c>
      <c r="C147" s="13" t="s">
        <v>1031</v>
      </c>
      <c r="D147" s="13" t="s">
        <v>1032</v>
      </c>
      <c r="E147" s="14" t="s">
        <v>81</v>
      </c>
      <c r="F147" s="11" t="s">
        <v>82</v>
      </c>
      <c r="G147" s="14" t="s">
        <v>147</v>
      </c>
      <c r="H147" s="13" t="s">
        <v>1033</v>
      </c>
      <c r="I147" s="13" t="s">
        <v>1034</v>
      </c>
      <c r="J147" s="13" t="s">
        <v>1035</v>
      </c>
      <c r="K147" s="13" t="s">
        <v>1036</v>
      </c>
      <c r="L147" s="13" t="s">
        <v>105</v>
      </c>
      <c r="M147" s="14" t="s">
        <v>89</v>
      </c>
      <c r="N147" s="13" t="s">
        <v>1037</v>
      </c>
    </row>
    <row r="148" spans="1:14" s="4" customFormat="1" x14ac:dyDescent="0.25">
      <c r="A148" s="8" t="s">
        <v>1038</v>
      </c>
      <c r="B148" s="9" t="s">
        <v>989</v>
      </c>
      <c r="C148" s="9" t="s">
        <v>1039</v>
      </c>
      <c r="D148" s="9" t="s">
        <v>1040</v>
      </c>
      <c r="E148" s="10" t="s">
        <v>81</v>
      </c>
      <c r="F148" s="11" t="s">
        <v>82</v>
      </c>
      <c r="G148" s="10" t="s">
        <v>147</v>
      </c>
      <c r="H148" s="9" t="s">
        <v>1041</v>
      </c>
      <c r="I148" s="9" t="s">
        <v>1042</v>
      </c>
      <c r="J148" s="9" t="s">
        <v>1043</v>
      </c>
      <c r="K148" s="9" t="s">
        <v>1044</v>
      </c>
      <c r="L148" s="9" t="s">
        <v>105</v>
      </c>
      <c r="M148" s="10" t="s">
        <v>89</v>
      </c>
      <c r="N148" s="9" t="s">
        <v>1045</v>
      </c>
    </row>
    <row r="149" spans="1:14" s="4" customFormat="1" x14ac:dyDescent="0.25">
      <c r="A149" s="12" t="s">
        <v>1046</v>
      </c>
      <c r="B149" s="13" t="s">
        <v>989</v>
      </c>
      <c r="C149" s="13" t="s">
        <v>1047</v>
      </c>
      <c r="D149" s="13" t="s">
        <v>1048</v>
      </c>
      <c r="E149" s="14" t="s">
        <v>81</v>
      </c>
      <c r="F149" s="15" t="s">
        <v>146</v>
      </c>
      <c r="G149" s="14" t="s">
        <v>109</v>
      </c>
      <c r="H149" s="13" t="s">
        <v>1049</v>
      </c>
      <c r="I149" s="13" t="s">
        <v>1050</v>
      </c>
      <c r="J149" s="13" t="s">
        <v>1051</v>
      </c>
      <c r="K149" s="13" t="s">
        <v>1052</v>
      </c>
      <c r="L149" s="13" t="s">
        <v>105</v>
      </c>
      <c r="M149" s="14" t="s">
        <v>89</v>
      </c>
      <c r="N149" s="13" t="s">
        <v>1053</v>
      </c>
    </row>
    <row r="150" spans="1:14" s="4" customFormat="1" x14ac:dyDescent="0.25">
      <c r="A150" s="8" t="s">
        <v>1054</v>
      </c>
      <c r="B150" s="9" t="s">
        <v>989</v>
      </c>
      <c r="C150" s="9" t="s">
        <v>1055</v>
      </c>
      <c r="D150" s="9" t="s">
        <v>1056</v>
      </c>
      <c r="E150" s="10" t="s">
        <v>81</v>
      </c>
      <c r="F150" s="16" t="s">
        <v>327</v>
      </c>
      <c r="G150" s="10" t="s">
        <v>109</v>
      </c>
      <c r="H150" s="9" t="s">
        <v>1057</v>
      </c>
      <c r="I150" s="9" t="s">
        <v>1058</v>
      </c>
      <c r="J150" s="9" t="s">
        <v>183</v>
      </c>
      <c r="K150" s="9" t="s">
        <v>1059</v>
      </c>
      <c r="L150" s="9" t="s">
        <v>105</v>
      </c>
      <c r="M150" s="10" t="s">
        <v>89</v>
      </c>
      <c r="N150" s="9" t="s">
        <v>90</v>
      </c>
    </row>
    <row r="151" spans="1:14" s="4" customFormat="1" x14ac:dyDescent="0.25">
      <c r="A151" s="12" t="s">
        <v>1060</v>
      </c>
      <c r="B151" s="13" t="s">
        <v>989</v>
      </c>
      <c r="C151" s="13" t="s">
        <v>1061</v>
      </c>
      <c r="D151" s="13" t="s">
        <v>1062</v>
      </c>
      <c r="E151" s="14" t="s">
        <v>81</v>
      </c>
      <c r="F151" s="11" t="s">
        <v>82</v>
      </c>
      <c r="G151" s="14" t="s">
        <v>147</v>
      </c>
      <c r="H151" s="13" t="s">
        <v>1063</v>
      </c>
      <c r="I151" s="13" t="s">
        <v>1064</v>
      </c>
      <c r="J151" s="13" t="s">
        <v>1065</v>
      </c>
      <c r="K151" s="13" t="s">
        <v>1066</v>
      </c>
      <c r="L151" s="13" t="s">
        <v>105</v>
      </c>
      <c r="M151" s="14" t="s">
        <v>89</v>
      </c>
      <c r="N151" s="13" t="s">
        <v>1067</v>
      </c>
    </row>
    <row r="152" spans="1:14" s="4" customFormat="1" x14ac:dyDescent="0.25">
      <c r="A152" s="8" t="s">
        <v>1068</v>
      </c>
      <c r="B152" s="9" t="s">
        <v>989</v>
      </c>
      <c r="C152" s="9" t="s">
        <v>1069</v>
      </c>
      <c r="D152" s="9" t="s">
        <v>1070</v>
      </c>
      <c r="E152" s="10" t="s">
        <v>81</v>
      </c>
      <c r="F152" s="11" t="s">
        <v>82</v>
      </c>
      <c r="G152" s="10" t="s">
        <v>109</v>
      </c>
      <c r="H152" s="9" t="s">
        <v>1071</v>
      </c>
      <c r="I152" s="9" t="s">
        <v>1072</v>
      </c>
      <c r="J152" s="9" t="s">
        <v>1073</v>
      </c>
      <c r="K152" s="9" t="s">
        <v>1074</v>
      </c>
      <c r="L152" s="9" t="s">
        <v>105</v>
      </c>
      <c r="M152" s="10" t="s">
        <v>89</v>
      </c>
      <c r="N152" s="9" t="s">
        <v>1075</v>
      </c>
    </row>
    <row r="153" spans="1:14" s="4" customFormat="1" x14ac:dyDescent="0.25">
      <c r="A153" s="12" t="s">
        <v>1076</v>
      </c>
      <c r="B153" s="13" t="s">
        <v>989</v>
      </c>
      <c r="C153" s="13" t="s">
        <v>1077</v>
      </c>
      <c r="D153" s="13" t="s">
        <v>1078</v>
      </c>
      <c r="E153" s="14" t="s">
        <v>100</v>
      </c>
      <c r="F153" s="11" t="s">
        <v>82</v>
      </c>
      <c r="G153" s="14" t="s">
        <v>109</v>
      </c>
      <c r="H153" s="13" t="s">
        <v>1079</v>
      </c>
      <c r="I153" s="13" t="s">
        <v>1080</v>
      </c>
      <c r="J153" s="13" t="s">
        <v>1081</v>
      </c>
      <c r="K153" s="13" t="s">
        <v>1082</v>
      </c>
      <c r="L153" s="13" t="s">
        <v>105</v>
      </c>
      <c r="M153" s="14" t="s">
        <v>89</v>
      </c>
      <c r="N153" s="13" t="s">
        <v>1083</v>
      </c>
    </row>
    <row r="154" spans="1:14" s="4" customFormat="1" x14ac:dyDescent="0.25">
      <c r="A154" s="8" t="s">
        <v>1084</v>
      </c>
      <c r="B154" s="9" t="s">
        <v>1085</v>
      </c>
      <c r="C154" s="9" t="s">
        <v>1086</v>
      </c>
      <c r="D154" s="9" t="s">
        <v>1087</v>
      </c>
      <c r="E154" s="10" t="s">
        <v>81</v>
      </c>
      <c r="F154" s="11" t="s">
        <v>82</v>
      </c>
      <c r="G154" s="10" t="s">
        <v>83</v>
      </c>
      <c r="H154" s="9" t="s">
        <v>1088</v>
      </c>
      <c r="I154" s="9" t="s">
        <v>1089</v>
      </c>
      <c r="J154" s="9" t="s">
        <v>183</v>
      </c>
      <c r="K154" s="9" t="s">
        <v>1090</v>
      </c>
      <c r="L154" s="9" t="s">
        <v>105</v>
      </c>
      <c r="M154" s="10" t="s">
        <v>89</v>
      </c>
      <c r="N154" s="9" t="s">
        <v>90</v>
      </c>
    </row>
    <row r="155" spans="1:14" s="4" customFormat="1" x14ac:dyDescent="0.25">
      <c r="A155" s="12" t="s">
        <v>1091</v>
      </c>
      <c r="B155" s="13" t="s">
        <v>1085</v>
      </c>
      <c r="C155" s="13" t="s">
        <v>1092</v>
      </c>
      <c r="D155" s="13" t="s">
        <v>1093</v>
      </c>
      <c r="E155" s="14" t="s">
        <v>100</v>
      </c>
      <c r="F155" s="15" t="s">
        <v>146</v>
      </c>
      <c r="G155" s="14" t="s">
        <v>83</v>
      </c>
      <c r="H155" s="13" t="s">
        <v>1094</v>
      </c>
      <c r="I155" s="13" t="s">
        <v>1095</v>
      </c>
      <c r="J155" s="13" t="s">
        <v>1096</v>
      </c>
      <c r="K155" s="13" t="s">
        <v>1097</v>
      </c>
      <c r="L155" s="13" t="s">
        <v>105</v>
      </c>
      <c r="M155" s="14" t="s">
        <v>89</v>
      </c>
      <c r="N155" s="13" t="s">
        <v>90</v>
      </c>
    </row>
    <row r="156" spans="1:14" s="4" customFormat="1" x14ac:dyDescent="0.25">
      <c r="A156" s="8" t="s">
        <v>1098</v>
      </c>
      <c r="B156" s="9" t="s">
        <v>1085</v>
      </c>
      <c r="C156" s="9" t="s">
        <v>1099</v>
      </c>
      <c r="D156" s="9" t="s">
        <v>1100</v>
      </c>
      <c r="E156" s="10" t="s">
        <v>100</v>
      </c>
      <c r="F156" s="15" t="s">
        <v>146</v>
      </c>
      <c r="G156" s="10" t="s">
        <v>147</v>
      </c>
      <c r="H156" s="9" t="s">
        <v>1101</v>
      </c>
      <c r="I156" s="9" t="s">
        <v>1102</v>
      </c>
      <c r="J156" s="9" t="s">
        <v>1103</v>
      </c>
      <c r="K156" s="9" t="s">
        <v>1104</v>
      </c>
      <c r="L156" s="9" t="s">
        <v>105</v>
      </c>
      <c r="M156" s="10" t="s">
        <v>89</v>
      </c>
      <c r="N156" s="9" t="s">
        <v>90</v>
      </c>
    </row>
    <row r="157" spans="1:14" s="4" customFormat="1" x14ac:dyDescent="0.25">
      <c r="A157" s="12" t="s">
        <v>1105</v>
      </c>
      <c r="B157" s="13" t="s">
        <v>1085</v>
      </c>
      <c r="C157" s="13" t="s">
        <v>1106</v>
      </c>
      <c r="D157" s="13" t="s">
        <v>1107</v>
      </c>
      <c r="E157" s="14" t="s">
        <v>81</v>
      </c>
      <c r="F157" s="16" t="s">
        <v>327</v>
      </c>
      <c r="G157" s="14" t="s">
        <v>147</v>
      </c>
      <c r="H157" s="13" t="s">
        <v>1108</v>
      </c>
      <c r="I157" s="13" t="s">
        <v>1109</v>
      </c>
      <c r="J157" s="13" t="s">
        <v>1110</v>
      </c>
      <c r="K157" s="13" t="s">
        <v>1111</v>
      </c>
      <c r="L157" s="13" t="s">
        <v>105</v>
      </c>
      <c r="M157" s="14" t="s">
        <v>89</v>
      </c>
      <c r="N157" s="13" t="s">
        <v>90</v>
      </c>
    </row>
    <row r="158" spans="1:14" s="4" customFormat="1" x14ac:dyDescent="0.25">
      <c r="A158" s="8" t="s">
        <v>1112</v>
      </c>
      <c r="B158" s="9" t="s">
        <v>1085</v>
      </c>
      <c r="C158" s="9" t="s">
        <v>1113</v>
      </c>
      <c r="D158" s="9" t="s">
        <v>1114</v>
      </c>
      <c r="E158" s="10" t="s">
        <v>100</v>
      </c>
      <c r="F158" s="11" t="s">
        <v>82</v>
      </c>
      <c r="G158" s="10" t="s">
        <v>147</v>
      </c>
      <c r="H158" s="9" t="s">
        <v>1115</v>
      </c>
      <c r="I158" s="9" t="s">
        <v>1116</v>
      </c>
      <c r="J158" s="9" t="s">
        <v>1117</v>
      </c>
      <c r="K158" s="9" t="s">
        <v>1118</v>
      </c>
      <c r="L158" s="9" t="s">
        <v>105</v>
      </c>
      <c r="M158" s="10" t="s">
        <v>89</v>
      </c>
      <c r="N158" s="9" t="s">
        <v>90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M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22" customWidth="1"/>
    <col min="4" max="5" width="12" customWidth="1"/>
    <col min="6" max="6" width="40" customWidth="1"/>
    <col min="8" max="8" width="10" customWidth="1"/>
    <col min="9" max="9" width="12" customWidth="1"/>
    <col min="10" max="10" width="13" customWidth="1"/>
    <col min="11" max="11" width="12" customWidth="1"/>
    <col min="12" max="12" width="15" customWidth="1"/>
    <col min="13" max="13" width="42" customWidth="1"/>
  </cols>
  <sheetData>
    <row r="1" ht="30" customHeight="1" spans="1:13" x14ac:dyDescent="0.25">
      <c r="A1" s="7" t="s">
        <v>63</v>
      </c>
      <c r="B1" s="7" t="s">
        <v>1119</v>
      </c>
      <c r="C1" s="7" t="s">
        <v>1120</v>
      </c>
      <c r="D1" s="7" t="s">
        <v>1121</v>
      </c>
      <c r="E1" s="7" t="s">
        <v>1122</v>
      </c>
      <c r="F1" s="7" t="s">
        <v>1123</v>
      </c>
      <c r="G1" s="7" t="s">
        <v>1124</v>
      </c>
      <c r="H1" s="7" t="s">
        <v>1125</v>
      </c>
      <c r="I1" s="7" t="s">
        <v>1126</v>
      </c>
      <c r="J1" s="7" t="s">
        <v>1127</v>
      </c>
      <c r="K1" s="7" t="s">
        <v>1128</v>
      </c>
      <c r="L1" s="7" t="s">
        <v>1129</v>
      </c>
      <c r="M1" s="7" t="s">
        <v>1130</v>
      </c>
    </row>
    <row r="2" spans="1:13" s="4" customFormat="1" x14ac:dyDescent="0.25">
      <c r="A2" s="8">
        <v>1</v>
      </c>
      <c r="B2" s="9" t="s">
        <v>1131</v>
      </c>
      <c r="C2" s="9" t="s">
        <v>1132</v>
      </c>
      <c r="D2" s="17" t="s">
        <v>1133</v>
      </c>
      <c r="E2" s="9" t="s">
        <v>1134</v>
      </c>
      <c r="F2" s="9" t="s">
        <v>247</v>
      </c>
      <c r="G2" s="18">
        <v>42</v>
      </c>
      <c r="H2" s="18">
        <v>39</v>
      </c>
      <c r="I2" s="19">
        <v>0.9285</v>
      </c>
      <c r="J2" s="19">
        <v>0</v>
      </c>
      <c r="K2" s="19">
        <v>1</v>
      </c>
      <c r="L2" s="16" t="s">
        <v>1135</v>
      </c>
      <c r="M2" s="9" t="s">
        <v>1136</v>
      </c>
    </row>
    <row r="3" spans="1:13" s="4" customFormat="1" x14ac:dyDescent="0.25">
      <c r="A3" s="12">
        <v>2</v>
      </c>
      <c r="B3" s="13" t="s">
        <v>1137</v>
      </c>
      <c r="C3" s="13" t="s">
        <v>1132</v>
      </c>
      <c r="D3" s="17" t="s">
        <v>1133</v>
      </c>
      <c r="E3" s="13" t="s">
        <v>1134</v>
      </c>
      <c r="F3" s="13" t="s">
        <v>1138</v>
      </c>
      <c r="G3" s="20">
        <v>10</v>
      </c>
      <c r="H3" s="20">
        <v>8</v>
      </c>
      <c r="I3" s="21">
        <v>0.8</v>
      </c>
      <c r="J3" s="21">
        <v>0</v>
      </c>
      <c r="K3" s="21">
        <v>1</v>
      </c>
      <c r="L3" s="16" t="s">
        <v>1135</v>
      </c>
      <c r="M3" s="13" t="s">
        <v>1136</v>
      </c>
    </row>
    <row r="4" spans="1:13" s="4" customFormat="1" x14ac:dyDescent="0.25">
      <c r="A4" s="8">
        <v>3</v>
      </c>
      <c r="B4" s="9" t="s">
        <v>1139</v>
      </c>
      <c r="C4" s="9" t="s">
        <v>1132</v>
      </c>
      <c r="D4" s="17" t="s">
        <v>1133</v>
      </c>
      <c r="E4" s="9" t="s">
        <v>1140</v>
      </c>
      <c r="F4" s="9" t="s">
        <v>1141</v>
      </c>
      <c r="G4" s="18">
        <v>8</v>
      </c>
      <c r="H4" s="18">
        <v>0</v>
      </c>
      <c r="I4" s="19">
        <v>0</v>
      </c>
      <c r="J4" s="19">
        <v>0</v>
      </c>
      <c r="K4" s="19">
        <v>0</v>
      </c>
      <c r="L4" s="11" t="s">
        <v>1142</v>
      </c>
      <c r="M4" s="9" t="s">
        <v>1143</v>
      </c>
    </row>
    <row r="5" spans="1:13" s="4" customFormat="1" x14ac:dyDescent="0.25">
      <c r="A5" s="12">
        <v>4</v>
      </c>
      <c r="B5" s="13" t="s">
        <v>1144</v>
      </c>
      <c r="C5" s="13" t="s">
        <v>1132</v>
      </c>
      <c r="D5" s="17" t="s">
        <v>1133</v>
      </c>
      <c r="E5" s="13" t="s">
        <v>1140</v>
      </c>
      <c r="F5" s="13" t="s">
        <v>1141</v>
      </c>
      <c r="G5" s="20">
        <v>189</v>
      </c>
      <c r="H5" s="20">
        <v>0</v>
      </c>
      <c r="I5" s="21">
        <v>0</v>
      </c>
      <c r="J5" s="21">
        <v>0</v>
      </c>
      <c r="K5" s="21">
        <v>0</v>
      </c>
      <c r="L5" s="11" t="s">
        <v>1142</v>
      </c>
      <c r="M5" s="13" t="s">
        <v>1145</v>
      </c>
    </row>
    <row r="6" spans="1:13" s="4" customFormat="1" x14ac:dyDescent="0.25">
      <c r="A6" s="8">
        <v>5</v>
      </c>
      <c r="B6" s="9" t="s">
        <v>1146</v>
      </c>
      <c r="C6" s="9" t="s">
        <v>1132</v>
      </c>
      <c r="D6" s="17" t="s">
        <v>1133</v>
      </c>
      <c r="E6" s="9" t="s">
        <v>1147</v>
      </c>
      <c r="F6" s="9" t="s">
        <v>937</v>
      </c>
      <c r="G6" s="18">
        <v>270</v>
      </c>
      <c r="H6" s="18">
        <v>197</v>
      </c>
      <c r="I6" s="19">
        <v>0.7296</v>
      </c>
      <c r="J6" s="19">
        <v>0.8947</v>
      </c>
      <c r="K6" s="19">
        <v>0.6666</v>
      </c>
      <c r="L6" s="15" t="s">
        <v>1148</v>
      </c>
      <c r="M6" s="9" t="s">
        <v>1149</v>
      </c>
    </row>
    <row r="7" spans="1:13" s="4" customFormat="1" x14ac:dyDescent="0.25">
      <c r="A7" s="12">
        <v>6</v>
      </c>
      <c r="B7" s="13" t="s">
        <v>1150</v>
      </c>
      <c r="C7" s="13" t="s">
        <v>1151</v>
      </c>
      <c r="D7" s="22" t="s">
        <v>1152</v>
      </c>
      <c r="E7" s="13" t="s">
        <v>1134</v>
      </c>
      <c r="F7" s="13" t="s">
        <v>247</v>
      </c>
      <c r="G7" s="20">
        <v>116</v>
      </c>
      <c r="H7" s="20">
        <v>58</v>
      </c>
      <c r="I7" s="21">
        <v>0.5</v>
      </c>
      <c r="J7" s="21">
        <v>0.7333</v>
      </c>
      <c r="K7" s="21">
        <v>0.6</v>
      </c>
      <c r="L7" s="15" t="s">
        <v>1148</v>
      </c>
      <c r="M7" s="13" t="s">
        <v>1153</v>
      </c>
    </row>
    <row r="8" spans="1:13" s="4" customFormat="1" x14ac:dyDescent="0.25">
      <c r="A8" s="8">
        <v>7</v>
      </c>
      <c r="B8" s="9" t="s">
        <v>1154</v>
      </c>
      <c r="C8" s="9" t="s">
        <v>1155</v>
      </c>
      <c r="D8" s="22" t="s">
        <v>1152</v>
      </c>
      <c r="E8" s="9" t="s">
        <v>1134</v>
      </c>
      <c r="F8" s="9" t="s">
        <v>1156</v>
      </c>
      <c r="G8" s="18">
        <v>525</v>
      </c>
      <c r="H8" s="18">
        <v>114</v>
      </c>
      <c r="I8" s="19">
        <v>0.2171</v>
      </c>
      <c r="J8" s="19">
        <v>1</v>
      </c>
      <c r="K8" s="19">
        <v>0.2307</v>
      </c>
      <c r="L8" s="15" t="s">
        <v>1148</v>
      </c>
      <c r="M8" s="9" t="s">
        <v>1157</v>
      </c>
    </row>
    <row r="9" spans="1:13" s="4" customFormat="1" x14ac:dyDescent="0.25">
      <c r="A9" s="12">
        <v>8</v>
      </c>
      <c r="B9" s="13" t="s">
        <v>1158</v>
      </c>
      <c r="C9" s="13" t="s">
        <v>1155</v>
      </c>
      <c r="D9" s="17" t="s">
        <v>1133</v>
      </c>
      <c r="E9" s="13" t="s">
        <v>1147</v>
      </c>
      <c r="F9" s="13" t="s">
        <v>247</v>
      </c>
      <c r="G9" s="20">
        <v>261</v>
      </c>
      <c r="H9" s="20">
        <v>101</v>
      </c>
      <c r="I9" s="21">
        <v>0.3869</v>
      </c>
      <c r="J9" s="21">
        <v>0.4285</v>
      </c>
      <c r="K9" s="21">
        <v>0.2857</v>
      </c>
      <c r="L9" s="15" t="s">
        <v>1148</v>
      </c>
      <c r="M9" s="13" t="s">
        <v>1159</v>
      </c>
    </row>
    <row r="10" spans="1:13" s="4" customFormat="1" x14ac:dyDescent="0.25">
      <c r="A10" s="8">
        <v>9</v>
      </c>
      <c r="B10" s="9" t="s">
        <v>1160</v>
      </c>
      <c r="C10" s="9" t="s">
        <v>1155</v>
      </c>
      <c r="D10" s="22" t="s">
        <v>1152</v>
      </c>
      <c r="E10" s="9" t="s">
        <v>1134</v>
      </c>
      <c r="F10" s="9" t="s">
        <v>1156</v>
      </c>
      <c r="G10" s="18">
        <v>207</v>
      </c>
      <c r="H10" s="18">
        <v>25</v>
      </c>
      <c r="I10" s="19">
        <v>0.1207</v>
      </c>
      <c r="J10" s="19">
        <v>1</v>
      </c>
      <c r="K10" s="19">
        <v>1</v>
      </c>
      <c r="L10" s="15" t="s">
        <v>1148</v>
      </c>
      <c r="M10" s="9" t="s">
        <v>1161</v>
      </c>
    </row>
    <row r="11" spans="1:13" s="4" customFormat="1" x14ac:dyDescent="0.25">
      <c r="A11" s="12">
        <v>10</v>
      </c>
      <c r="B11" s="13" t="s">
        <v>1162</v>
      </c>
      <c r="C11" s="13" t="s">
        <v>1155</v>
      </c>
      <c r="D11" s="17" t="s">
        <v>1133</v>
      </c>
      <c r="E11" s="13" t="s">
        <v>1147</v>
      </c>
      <c r="F11" s="13" t="s">
        <v>247</v>
      </c>
      <c r="G11" s="20">
        <v>267</v>
      </c>
      <c r="H11" s="20">
        <v>99</v>
      </c>
      <c r="I11" s="21">
        <v>0.3707</v>
      </c>
      <c r="J11" s="21">
        <v>0.44</v>
      </c>
      <c r="K11" s="21">
        <v>1</v>
      </c>
      <c r="L11" s="15" t="s">
        <v>1148</v>
      </c>
      <c r="M11" s="13" t="s">
        <v>1163</v>
      </c>
    </row>
    <row r="12" spans="1:13" s="4" customFormat="1" x14ac:dyDescent="0.25">
      <c r="A12" s="8">
        <v>11</v>
      </c>
      <c r="B12" s="9" t="s">
        <v>1164</v>
      </c>
      <c r="C12" s="9" t="s">
        <v>1155</v>
      </c>
      <c r="D12" s="22" t="s">
        <v>1152</v>
      </c>
      <c r="E12" s="9" t="s">
        <v>1134</v>
      </c>
      <c r="F12" s="9" t="s">
        <v>1165</v>
      </c>
      <c r="G12" s="18">
        <v>515</v>
      </c>
      <c r="H12" s="18">
        <v>20</v>
      </c>
      <c r="I12" s="19">
        <v>0.0388</v>
      </c>
      <c r="J12" s="19">
        <v>1</v>
      </c>
      <c r="K12" s="19">
        <v>0</v>
      </c>
      <c r="L12" s="15" t="s">
        <v>1148</v>
      </c>
      <c r="M12" s="9" t="s">
        <v>1166</v>
      </c>
    </row>
    <row r="13" spans="1:13" s="4" customFormat="1" x14ac:dyDescent="0.25">
      <c r="A13" s="12">
        <v>12</v>
      </c>
      <c r="B13" s="13" t="s">
        <v>1167</v>
      </c>
      <c r="C13" s="13" t="s">
        <v>1155</v>
      </c>
      <c r="D13" s="17" t="s">
        <v>1133</v>
      </c>
      <c r="E13" s="13" t="s">
        <v>1147</v>
      </c>
      <c r="F13" s="13" t="s">
        <v>247</v>
      </c>
      <c r="G13" s="20">
        <v>213</v>
      </c>
      <c r="H13" s="20">
        <v>98</v>
      </c>
      <c r="I13" s="21">
        <v>0.46</v>
      </c>
      <c r="J13" s="21">
        <v>0.375</v>
      </c>
      <c r="K13" s="21">
        <v>1</v>
      </c>
      <c r="L13" s="15" t="s">
        <v>1148</v>
      </c>
      <c r="M13" s="13" t="s">
        <v>1168</v>
      </c>
    </row>
    <row r="14" spans="1:13" s="4" customFormat="1" x14ac:dyDescent="0.25">
      <c r="A14" s="8">
        <v>13</v>
      </c>
      <c r="B14" s="9" t="s">
        <v>1169</v>
      </c>
      <c r="C14" s="9" t="s">
        <v>1155</v>
      </c>
      <c r="D14" s="17" t="s">
        <v>1133</v>
      </c>
      <c r="E14" s="9" t="s">
        <v>1134</v>
      </c>
      <c r="F14" s="9" t="s">
        <v>1156</v>
      </c>
      <c r="G14" s="18">
        <v>112</v>
      </c>
      <c r="H14" s="18">
        <v>15</v>
      </c>
      <c r="I14" s="19">
        <v>0.1339</v>
      </c>
      <c r="J14" s="19">
        <v>1</v>
      </c>
      <c r="K14" s="19">
        <v>1</v>
      </c>
      <c r="L14" s="15" t="s">
        <v>1148</v>
      </c>
      <c r="M14" s="9" t="s">
        <v>1170</v>
      </c>
    </row>
    <row r="15" spans="1:13" s="4" customFormat="1" x14ac:dyDescent="0.25">
      <c r="A15" s="12">
        <v>14</v>
      </c>
      <c r="B15" s="13" t="s">
        <v>1171</v>
      </c>
      <c r="C15" s="13" t="s">
        <v>1155</v>
      </c>
      <c r="D15" s="17" t="s">
        <v>1133</v>
      </c>
      <c r="E15" s="13" t="s">
        <v>1134</v>
      </c>
      <c r="F15" s="13" t="s">
        <v>1156</v>
      </c>
      <c r="G15" s="20">
        <v>160</v>
      </c>
      <c r="H15" s="20">
        <v>32</v>
      </c>
      <c r="I15" s="21">
        <v>0.2</v>
      </c>
      <c r="J15" s="21">
        <v>1</v>
      </c>
      <c r="K15" s="21">
        <v>0.5</v>
      </c>
      <c r="L15" s="15" t="s">
        <v>1148</v>
      </c>
      <c r="M15" s="13" t="s">
        <v>1172</v>
      </c>
    </row>
    <row r="16" spans="1:13" s="4" customFormat="1" x14ac:dyDescent="0.25">
      <c r="A16" s="8">
        <v>15</v>
      </c>
      <c r="B16" s="9" t="s">
        <v>1173</v>
      </c>
      <c r="C16" s="9" t="s">
        <v>1155</v>
      </c>
      <c r="D16" s="17" t="s">
        <v>1133</v>
      </c>
      <c r="E16" s="9" t="s">
        <v>1147</v>
      </c>
      <c r="F16" s="9" t="s">
        <v>358</v>
      </c>
      <c r="G16" s="18">
        <v>449</v>
      </c>
      <c r="H16" s="18">
        <v>99</v>
      </c>
      <c r="I16" s="19">
        <v>0.2204</v>
      </c>
      <c r="J16" s="19">
        <v>0.9375</v>
      </c>
      <c r="K16" s="19">
        <v>0.5</v>
      </c>
      <c r="L16" s="15" t="s">
        <v>1148</v>
      </c>
      <c r="M16" s="9" t="s">
        <v>1174</v>
      </c>
    </row>
    <row r="17" spans="1:13" s="4" customFormat="1" x14ac:dyDescent="0.25">
      <c r="A17" s="12">
        <v>16</v>
      </c>
      <c r="B17" s="13" t="s">
        <v>1175</v>
      </c>
      <c r="C17" s="13" t="s">
        <v>1155</v>
      </c>
      <c r="D17" s="17" t="s">
        <v>1133</v>
      </c>
      <c r="E17" s="13" t="s">
        <v>1134</v>
      </c>
      <c r="F17" s="13" t="s">
        <v>1156</v>
      </c>
      <c r="G17" s="20">
        <v>50</v>
      </c>
      <c r="H17" s="20">
        <v>15</v>
      </c>
      <c r="I17" s="21">
        <v>0.3</v>
      </c>
      <c r="J17" s="21">
        <v>1</v>
      </c>
      <c r="K17" s="21">
        <v>1</v>
      </c>
      <c r="L17" s="15" t="s">
        <v>1148</v>
      </c>
      <c r="M17" s="13" t="s">
        <v>1149</v>
      </c>
    </row>
    <row r="18" spans="1:13" s="4" customFormat="1" x14ac:dyDescent="0.25">
      <c r="A18" s="8">
        <v>17</v>
      </c>
      <c r="B18" s="9" t="s">
        <v>1176</v>
      </c>
      <c r="C18" s="9" t="s">
        <v>1155</v>
      </c>
      <c r="D18" s="17" t="s">
        <v>1133</v>
      </c>
      <c r="E18" s="9" t="s">
        <v>1134</v>
      </c>
      <c r="F18" s="9" t="s">
        <v>1156</v>
      </c>
      <c r="G18" s="18">
        <v>223</v>
      </c>
      <c r="H18" s="18">
        <v>15</v>
      </c>
      <c r="I18" s="19">
        <v>0.0672</v>
      </c>
      <c r="J18" s="19">
        <v>1</v>
      </c>
      <c r="K18" s="19">
        <v>1</v>
      </c>
      <c r="L18" s="15" t="s">
        <v>1148</v>
      </c>
      <c r="M18" s="9" t="s">
        <v>1177</v>
      </c>
    </row>
    <row r="19" spans="1:13" s="4" customFormat="1" x14ac:dyDescent="0.25">
      <c r="A19" s="12">
        <v>18</v>
      </c>
      <c r="B19" s="13" t="s">
        <v>1178</v>
      </c>
      <c r="C19" s="13" t="s">
        <v>1155</v>
      </c>
      <c r="D19" s="17" t="s">
        <v>1133</v>
      </c>
      <c r="E19" s="13" t="s">
        <v>1134</v>
      </c>
      <c r="F19" s="13" t="s">
        <v>1156</v>
      </c>
      <c r="G19" s="20">
        <v>36</v>
      </c>
      <c r="H19" s="20">
        <v>10</v>
      </c>
      <c r="I19" s="21">
        <v>0.2777</v>
      </c>
      <c r="J19" s="21">
        <v>1</v>
      </c>
      <c r="K19" s="21">
        <v>1</v>
      </c>
      <c r="L19" s="15" t="s">
        <v>1148</v>
      </c>
      <c r="M19" s="13" t="s">
        <v>1149</v>
      </c>
    </row>
    <row r="20" spans="1:13" s="4" customFormat="1" x14ac:dyDescent="0.25">
      <c r="A20" s="8">
        <v>19</v>
      </c>
      <c r="B20" s="9" t="s">
        <v>1179</v>
      </c>
      <c r="C20" s="9" t="s">
        <v>1180</v>
      </c>
      <c r="D20" s="17" t="s">
        <v>1133</v>
      </c>
      <c r="E20" s="9" t="s">
        <v>1147</v>
      </c>
      <c r="F20" s="9" t="s">
        <v>630</v>
      </c>
      <c r="G20" s="18">
        <v>615</v>
      </c>
      <c r="H20" s="18">
        <v>518</v>
      </c>
      <c r="I20" s="19">
        <v>0.8422</v>
      </c>
      <c r="J20" s="19">
        <v>0.5089</v>
      </c>
      <c r="K20" s="19">
        <v>1</v>
      </c>
      <c r="L20" s="16" t="s">
        <v>1135</v>
      </c>
      <c r="M20" s="9" t="s">
        <v>1136</v>
      </c>
    </row>
    <row r="21" spans="1:13" s="4" customFormat="1" x14ac:dyDescent="0.25">
      <c r="A21" s="12">
        <v>20</v>
      </c>
      <c r="B21" s="13" t="s">
        <v>1181</v>
      </c>
      <c r="C21" s="13" t="s">
        <v>1182</v>
      </c>
      <c r="D21" s="17" t="s">
        <v>1133</v>
      </c>
      <c r="E21" s="13" t="s">
        <v>1147</v>
      </c>
      <c r="F21" s="13" t="s">
        <v>1183</v>
      </c>
      <c r="G21" s="20">
        <v>693</v>
      </c>
      <c r="H21" s="20">
        <v>659</v>
      </c>
      <c r="I21" s="21">
        <v>0.9509</v>
      </c>
      <c r="J21" s="21">
        <v>0.7007</v>
      </c>
      <c r="K21" s="21">
        <v>1</v>
      </c>
      <c r="L21" s="16" t="s">
        <v>1135</v>
      </c>
      <c r="M21" s="13" t="s">
        <v>1136</v>
      </c>
    </row>
    <row r="22" spans="1:13" s="4" customFormat="1" x14ac:dyDescent="0.25">
      <c r="A22" s="8">
        <v>21</v>
      </c>
      <c r="B22" s="9" t="s">
        <v>1184</v>
      </c>
      <c r="C22" s="9" t="s">
        <v>1182</v>
      </c>
      <c r="D22" s="22" t="s">
        <v>1152</v>
      </c>
      <c r="E22" s="9" t="s">
        <v>1134</v>
      </c>
      <c r="F22" s="9" t="s">
        <v>1185</v>
      </c>
      <c r="G22" s="18">
        <v>753</v>
      </c>
      <c r="H22" s="18">
        <v>126</v>
      </c>
      <c r="I22" s="19">
        <v>0.1673</v>
      </c>
      <c r="J22" s="19">
        <v>0.3</v>
      </c>
      <c r="K22" s="19">
        <v>0.2307</v>
      </c>
      <c r="L22" s="15" t="s">
        <v>1148</v>
      </c>
      <c r="M22" s="9" t="s">
        <v>1186</v>
      </c>
    </row>
    <row r="23" spans="1:13" s="4" customFormat="1" x14ac:dyDescent="0.25">
      <c r="A23" s="12">
        <v>22</v>
      </c>
      <c r="B23" s="13" t="s">
        <v>1187</v>
      </c>
      <c r="C23" s="13" t="s">
        <v>1188</v>
      </c>
      <c r="D23" s="17" t="s">
        <v>1133</v>
      </c>
      <c r="E23" s="13" t="s">
        <v>1140</v>
      </c>
      <c r="F23" s="13" t="s">
        <v>1141</v>
      </c>
      <c r="G23" s="20">
        <v>230</v>
      </c>
      <c r="H23" s="20">
        <v>0</v>
      </c>
      <c r="I23" s="21">
        <v>0</v>
      </c>
      <c r="J23" s="21">
        <v>0</v>
      </c>
      <c r="K23" s="21">
        <v>0</v>
      </c>
      <c r="L23" s="11" t="s">
        <v>1142</v>
      </c>
      <c r="M23" s="13" t="s">
        <v>1143</v>
      </c>
    </row>
    <row r="24" spans="1:13" s="4" customFormat="1" x14ac:dyDescent="0.25">
      <c r="A24" s="8">
        <v>23</v>
      </c>
      <c r="B24" s="9" t="s">
        <v>1189</v>
      </c>
      <c r="C24" s="9" t="s">
        <v>1188</v>
      </c>
      <c r="D24" s="17" t="s">
        <v>1133</v>
      </c>
      <c r="E24" s="9" t="s">
        <v>1140</v>
      </c>
      <c r="F24" s="9" t="s">
        <v>1141</v>
      </c>
      <c r="G24" s="18">
        <v>10</v>
      </c>
      <c r="H24" s="18">
        <v>0</v>
      </c>
      <c r="I24" s="19">
        <v>0</v>
      </c>
      <c r="J24" s="19">
        <v>0</v>
      </c>
      <c r="K24" s="19">
        <v>0</v>
      </c>
      <c r="L24" s="11" t="s">
        <v>1142</v>
      </c>
      <c r="M24" s="9" t="s">
        <v>1143</v>
      </c>
    </row>
    <row r="25" spans="1:13" s="4" customFormat="1" x14ac:dyDescent="0.25">
      <c r="A25" s="12">
        <v>24</v>
      </c>
      <c r="B25" s="13" t="s">
        <v>1190</v>
      </c>
      <c r="C25" s="13" t="s">
        <v>1188</v>
      </c>
      <c r="D25" s="23" t="s">
        <v>1191</v>
      </c>
      <c r="E25" s="13" t="s">
        <v>1191</v>
      </c>
      <c r="F25" s="13" t="s">
        <v>1141</v>
      </c>
      <c r="G25" s="20">
        <v>1</v>
      </c>
      <c r="H25" s="20">
        <v>0</v>
      </c>
      <c r="I25" s="21">
        <v>0</v>
      </c>
      <c r="J25" s="21">
        <v>0</v>
      </c>
      <c r="K25" s="21">
        <v>0</v>
      </c>
      <c r="L25" s="24" t="s">
        <v>1192</v>
      </c>
      <c r="M25" s="13" t="s">
        <v>1193</v>
      </c>
    </row>
    <row r="26" spans="1:13" s="4" customFormat="1" x14ac:dyDescent="0.25">
      <c r="A26" s="8">
        <v>25</v>
      </c>
      <c r="B26" s="9" t="s">
        <v>1194</v>
      </c>
      <c r="C26" s="9" t="s">
        <v>1195</v>
      </c>
      <c r="D26" s="17" t="s">
        <v>1133</v>
      </c>
      <c r="E26" s="9" t="s">
        <v>1140</v>
      </c>
      <c r="F26" s="9" t="s">
        <v>1141</v>
      </c>
      <c r="G26" s="18">
        <v>1110</v>
      </c>
      <c r="H26" s="18">
        <v>0</v>
      </c>
      <c r="I26" s="19">
        <v>0</v>
      </c>
      <c r="J26" s="19">
        <v>0</v>
      </c>
      <c r="K26" s="19">
        <v>0</v>
      </c>
      <c r="L26" s="11" t="s">
        <v>1142</v>
      </c>
      <c r="M26" s="9" t="s">
        <v>1196</v>
      </c>
    </row>
    <row r="27" spans="1:13" s="4" customFormat="1" x14ac:dyDescent="0.25">
      <c r="A27" s="12">
        <v>26</v>
      </c>
      <c r="B27" s="13" t="s">
        <v>1197</v>
      </c>
      <c r="C27" s="13" t="s">
        <v>1195</v>
      </c>
      <c r="D27" s="25" t="s">
        <v>1198</v>
      </c>
      <c r="E27" s="13" t="s">
        <v>1140</v>
      </c>
      <c r="F27" s="13" t="s">
        <v>1141</v>
      </c>
      <c r="G27" s="20">
        <v>574</v>
      </c>
      <c r="H27" s="20">
        <v>0</v>
      </c>
      <c r="I27" s="21">
        <v>0</v>
      </c>
      <c r="J27" s="21">
        <v>0</v>
      </c>
      <c r="K27" s="21">
        <v>0</v>
      </c>
      <c r="L27" s="11" t="s">
        <v>1142</v>
      </c>
      <c r="M27" s="13" t="s">
        <v>1143</v>
      </c>
    </row>
    <row r="28" spans="1:13" s="4" customFormat="1" x14ac:dyDescent="0.25">
      <c r="A28" s="8">
        <v>27</v>
      </c>
      <c r="B28" s="9" t="s">
        <v>1199</v>
      </c>
      <c r="C28" s="9" t="s">
        <v>1195</v>
      </c>
      <c r="D28" s="25" t="s">
        <v>1198</v>
      </c>
      <c r="E28" s="9" t="s">
        <v>1140</v>
      </c>
      <c r="F28" s="9" t="s">
        <v>1141</v>
      </c>
      <c r="G28" s="18">
        <v>351</v>
      </c>
      <c r="H28" s="18">
        <v>0</v>
      </c>
      <c r="I28" s="19">
        <v>0</v>
      </c>
      <c r="J28" s="19">
        <v>0</v>
      </c>
      <c r="K28" s="19">
        <v>0</v>
      </c>
      <c r="L28" s="11" t="s">
        <v>1142</v>
      </c>
      <c r="M28" s="9" t="s">
        <v>1143</v>
      </c>
    </row>
    <row r="29" spans="1:13" s="4" customFormat="1" x14ac:dyDescent="0.25">
      <c r="A29" s="12">
        <v>28</v>
      </c>
      <c r="B29" s="13" t="s">
        <v>1200</v>
      </c>
      <c r="C29" s="13" t="s">
        <v>1195</v>
      </c>
      <c r="D29" s="25" t="s">
        <v>1198</v>
      </c>
      <c r="E29" s="13" t="s">
        <v>1140</v>
      </c>
      <c r="F29" s="13" t="s">
        <v>1141</v>
      </c>
      <c r="G29" s="20">
        <v>386</v>
      </c>
      <c r="H29" s="20">
        <v>0</v>
      </c>
      <c r="I29" s="21">
        <v>0</v>
      </c>
      <c r="J29" s="21">
        <v>0</v>
      </c>
      <c r="K29" s="21">
        <v>0</v>
      </c>
      <c r="L29" s="11" t="s">
        <v>1142</v>
      </c>
      <c r="M29" s="13" t="s">
        <v>1201</v>
      </c>
    </row>
    <row r="30" spans="1:13" s="4" customFormat="1" x14ac:dyDescent="0.25">
      <c r="A30" s="8">
        <v>29</v>
      </c>
      <c r="B30" s="9" t="s">
        <v>1202</v>
      </c>
      <c r="C30" s="9" t="s">
        <v>1195</v>
      </c>
      <c r="D30" s="25" t="s">
        <v>1198</v>
      </c>
      <c r="E30" s="9" t="s">
        <v>1140</v>
      </c>
      <c r="F30" s="9" t="s">
        <v>1141</v>
      </c>
      <c r="G30" s="18">
        <v>1264</v>
      </c>
      <c r="H30" s="18">
        <v>0</v>
      </c>
      <c r="I30" s="19">
        <v>0</v>
      </c>
      <c r="J30" s="19">
        <v>0</v>
      </c>
      <c r="K30" s="19">
        <v>0</v>
      </c>
      <c r="L30" s="11" t="s">
        <v>1142</v>
      </c>
      <c r="M30" s="9" t="s">
        <v>1203</v>
      </c>
    </row>
    <row r="31" spans="1:13" s="4" customFormat="1" x14ac:dyDescent="0.25">
      <c r="A31" s="12">
        <v>30</v>
      </c>
      <c r="B31" s="13" t="s">
        <v>1204</v>
      </c>
      <c r="C31" s="13" t="s">
        <v>1195</v>
      </c>
      <c r="D31" s="22" t="s">
        <v>1152</v>
      </c>
      <c r="E31" s="13" t="s">
        <v>1140</v>
      </c>
      <c r="F31" s="13" t="s">
        <v>1141</v>
      </c>
      <c r="G31" s="20">
        <v>21</v>
      </c>
      <c r="H31" s="20">
        <v>0</v>
      </c>
      <c r="I31" s="21">
        <v>0</v>
      </c>
      <c r="J31" s="21">
        <v>0</v>
      </c>
      <c r="K31" s="21">
        <v>0</v>
      </c>
      <c r="L31" s="11" t="s">
        <v>1142</v>
      </c>
      <c r="M31" s="13" t="s">
        <v>1205</v>
      </c>
    </row>
    <row r="32" spans="1:13" s="4" customFormat="1" x14ac:dyDescent="0.25">
      <c r="A32" s="8">
        <v>31</v>
      </c>
      <c r="B32" s="9" t="s">
        <v>1206</v>
      </c>
      <c r="C32" s="9" t="s">
        <v>1207</v>
      </c>
      <c r="D32" s="22" t="s">
        <v>1152</v>
      </c>
      <c r="E32" s="9" t="s">
        <v>1140</v>
      </c>
      <c r="F32" s="9" t="s">
        <v>1141</v>
      </c>
      <c r="G32" s="18">
        <v>80</v>
      </c>
      <c r="H32" s="18">
        <v>0</v>
      </c>
      <c r="I32" s="19">
        <v>0</v>
      </c>
      <c r="J32" s="19">
        <v>0</v>
      </c>
      <c r="K32" s="19">
        <v>0</v>
      </c>
      <c r="L32" s="11" t="s">
        <v>1142</v>
      </c>
      <c r="M32" s="9" t="s">
        <v>1208</v>
      </c>
    </row>
    <row r="33" spans="1:13" s="4" customFormat="1" x14ac:dyDescent="0.25">
      <c r="A33" s="12">
        <v>32</v>
      </c>
      <c r="B33" s="13" t="s">
        <v>1209</v>
      </c>
      <c r="C33" s="13" t="s">
        <v>1188</v>
      </c>
      <c r="D33" s="17" t="s">
        <v>1133</v>
      </c>
      <c r="E33" s="13" t="s">
        <v>1140</v>
      </c>
      <c r="F33" s="13" t="s">
        <v>1141</v>
      </c>
      <c r="G33" s="20">
        <v>72</v>
      </c>
      <c r="H33" s="20">
        <v>0</v>
      </c>
      <c r="I33" s="21">
        <v>0</v>
      </c>
      <c r="J33" s="21">
        <v>0</v>
      </c>
      <c r="K33" s="21">
        <v>0</v>
      </c>
      <c r="L33" s="11" t="s">
        <v>1142</v>
      </c>
      <c r="M33" s="13" t="s">
        <v>1143</v>
      </c>
    </row>
    <row r="34" spans="1:13" s="4" customFormat="1" x14ac:dyDescent="0.25">
      <c r="A34" s="8">
        <v>33</v>
      </c>
      <c r="B34" s="9" t="s">
        <v>1210</v>
      </c>
      <c r="C34" s="9" t="s">
        <v>1211</v>
      </c>
      <c r="D34" s="22" t="s">
        <v>1152</v>
      </c>
      <c r="E34" s="9" t="s">
        <v>1140</v>
      </c>
      <c r="F34" s="9" t="s">
        <v>1141</v>
      </c>
      <c r="G34" s="18">
        <v>100</v>
      </c>
      <c r="H34" s="18">
        <v>0</v>
      </c>
      <c r="I34" s="19">
        <v>0</v>
      </c>
      <c r="J34" s="19">
        <v>0</v>
      </c>
      <c r="K34" s="19">
        <v>0</v>
      </c>
      <c r="L34" s="11" t="s">
        <v>1142</v>
      </c>
      <c r="M34" s="9" t="s">
        <v>1212</v>
      </c>
    </row>
    <row r="35" spans="1:13" s="4" customFormat="1" x14ac:dyDescent="0.25">
      <c r="A35" s="12">
        <v>34</v>
      </c>
      <c r="B35" s="13" t="s">
        <v>1213</v>
      </c>
      <c r="C35" s="13" t="s">
        <v>1214</v>
      </c>
      <c r="D35" s="25" t="s">
        <v>1198</v>
      </c>
      <c r="E35" s="13" t="s">
        <v>1140</v>
      </c>
      <c r="F35" s="13" t="s">
        <v>1141</v>
      </c>
      <c r="G35" s="20">
        <v>134</v>
      </c>
      <c r="H35" s="20">
        <v>0</v>
      </c>
      <c r="I35" s="21">
        <v>0</v>
      </c>
      <c r="J35" s="21">
        <v>0</v>
      </c>
      <c r="K35" s="21">
        <v>0</v>
      </c>
      <c r="L35" s="11" t="s">
        <v>1142</v>
      </c>
      <c r="M35" s="13" t="s">
        <v>1215</v>
      </c>
    </row>
    <row r="36" spans="1:13" s="4" customFormat="1" x14ac:dyDescent="0.25">
      <c r="A36" s="8">
        <v>35</v>
      </c>
      <c r="B36" s="9" t="s">
        <v>1216</v>
      </c>
      <c r="C36" s="9" t="s">
        <v>1214</v>
      </c>
      <c r="D36" s="25" t="s">
        <v>1198</v>
      </c>
      <c r="E36" s="9" t="s">
        <v>1140</v>
      </c>
      <c r="F36" s="9" t="s">
        <v>1141</v>
      </c>
      <c r="G36" s="18">
        <v>105</v>
      </c>
      <c r="H36" s="18">
        <v>0</v>
      </c>
      <c r="I36" s="19">
        <v>0</v>
      </c>
      <c r="J36" s="19">
        <v>0</v>
      </c>
      <c r="K36" s="19">
        <v>0</v>
      </c>
      <c r="L36" s="11" t="s">
        <v>1142</v>
      </c>
      <c r="M36" s="9" t="s">
        <v>1217</v>
      </c>
    </row>
    <row r="37" spans="1:13" s="4" customFormat="1" x14ac:dyDescent="0.25">
      <c r="A37" s="12">
        <v>36</v>
      </c>
      <c r="B37" s="13" t="s">
        <v>1218</v>
      </c>
      <c r="C37" s="13" t="s">
        <v>1214</v>
      </c>
      <c r="D37" s="17" t="s">
        <v>1133</v>
      </c>
      <c r="E37" s="13" t="s">
        <v>1140</v>
      </c>
      <c r="F37" s="13" t="s">
        <v>1141</v>
      </c>
      <c r="G37" s="20">
        <v>483</v>
      </c>
      <c r="H37" s="20">
        <v>0</v>
      </c>
      <c r="I37" s="21">
        <v>0</v>
      </c>
      <c r="J37" s="21">
        <v>0</v>
      </c>
      <c r="K37" s="21">
        <v>0</v>
      </c>
      <c r="L37" s="11" t="s">
        <v>1142</v>
      </c>
      <c r="M37" s="13" t="s">
        <v>1219</v>
      </c>
    </row>
    <row r="38" spans="1:13" s="4" customFormat="1" x14ac:dyDescent="0.25">
      <c r="A38" s="8">
        <v>37</v>
      </c>
      <c r="B38" s="9" t="s">
        <v>1220</v>
      </c>
      <c r="C38" s="9" t="s">
        <v>1221</v>
      </c>
      <c r="D38" s="17" t="s">
        <v>1133</v>
      </c>
      <c r="E38" s="9" t="s">
        <v>1140</v>
      </c>
      <c r="F38" s="9" t="s">
        <v>1141</v>
      </c>
      <c r="G38" s="18">
        <v>40</v>
      </c>
      <c r="H38" s="18">
        <v>0</v>
      </c>
      <c r="I38" s="19">
        <v>0</v>
      </c>
      <c r="J38" s="19">
        <v>0</v>
      </c>
      <c r="K38" s="19">
        <v>0</v>
      </c>
      <c r="L38" s="11" t="s">
        <v>1142</v>
      </c>
      <c r="M38" s="9" t="s">
        <v>1222</v>
      </c>
    </row>
    <row r="39" spans="1:13" s="4" customFormat="1" x14ac:dyDescent="0.25">
      <c r="A39" s="12">
        <v>38</v>
      </c>
      <c r="B39" s="13" t="s">
        <v>1223</v>
      </c>
      <c r="C39" s="13" t="s">
        <v>1221</v>
      </c>
      <c r="D39" s="17" t="s">
        <v>1133</v>
      </c>
      <c r="E39" s="13" t="s">
        <v>1140</v>
      </c>
      <c r="F39" s="13" t="s">
        <v>1141</v>
      </c>
      <c r="G39" s="20">
        <v>101</v>
      </c>
      <c r="H39" s="20">
        <v>0</v>
      </c>
      <c r="I39" s="21">
        <v>0</v>
      </c>
      <c r="J39" s="21">
        <v>0</v>
      </c>
      <c r="K39" s="21">
        <v>0</v>
      </c>
      <c r="L39" s="11" t="s">
        <v>1142</v>
      </c>
      <c r="M39" s="13" t="s">
        <v>1224</v>
      </c>
    </row>
    <row r="40" spans="1:13" s="4" customFormat="1" x14ac:dyDescent="0.25">
      <c r="A40" s="8">
        <v>39</v>
      </c>
      <c r="B40" s="9" t="s">
        <v>1225</v>
      </c>
      <c r="C40" s="9" t="s">
        <v>1221</v>
      </c>
      <c r="D40" s="17" t="s">
        <v>1133</v>
      </c>
      <c r="E40" s="9" t="s">
        <v>1140</v>
      </c>
      <c r="F40" s="9" t="s">
        <v>1141</v>
      </c>
      <c r="G40" s="18">
        <v>55</v>
      </c>
      <c r="H40" s="18">
        <v>0</v>
      </c>
      <c r="I40" s="19">
        <v>0</v>
      </c>
      <c r="J40" s="19">
        <v>0</v>
      </c>
      <c r="K40" s="19">
        <v>0</v>
      </c>
      <c r="L40" s="11" t="s">
        <v>1142</v>
      </c>
      <c r="M40" s="9" t="s">
        <v>1226</v>
      </c>
    </row>
    <row r="41" spans="1:13" s="4" customFormat="1" x14ac:dyDescent="0.25">
      <c r="A41" s="12">
        <v>40</v>
      </c>
      <c r="B41" s="13" t="s">
        <v>1227</v>
      </c>
      <c r="C41" s="13" t="s">
        <v>1221</v>
      </c>
      <c r="D41" s="17" t="s">
        <v>1133</v>
      </c>
      <c r="E41" s="13" t="s">
        <v>1140</v>
      </c>
      <c r="F41" s="13" t="s">
        <v>1141</v>
      </c>
      <c r="G41" s="20">
        <v>76</v>
      </c>
      <c r="H41" s="20">
        <v>0</v>
      </c>
      <c r="I41" s="21">
        <v>0</v>
      </c>
      <c r="J41" s="21">
        <v>0</v>
      </c>
      <c r="K41" s="21">
        <v>0</v>
      </c>
      <c r="L41" s="11" t="s">
        <v>1142</v>
      </c>
      <c r="M41" s="13" t="s">
        <v>1228</v>
      </c>
    </row>
    <row r="42" spans="1:13" s="4" customFormat="1" x14ac:dyDescent="0.25">
      <c r="A42" s="8">
        <v>41</v>
      </c>
      <c r="B42" s="9" t="s">
        <v>1229</v>
      </c>
      <c r="C42" s="9" t="s">
        <v>1221</v>
      </c>
      <c r="D42" s="17" t="s">
        <v>1133</v>
      </c>
      <c r="E42" s="9" t="s">
        <v>1140</v>
      </c>
      <c r="F42" s="9" t="s">
        <v>1141</v>
      </c>
      <c r="G42" s="18">
        <v>69</v>
      </c>
      <c r="H42" s="18">
        <v>0</v>
      </c>
      <c r="I42" s="19">
        <v>0</v>
      </c>
      <c r="J42" s="19">
        <v>0</v>
      </c>
      <c r="K42" s="19">
        <v>0</v>
      </c>
      <c r="L42" s="11" t="s">
        <v>1142</v>
      </c>
      <c r="M42" s="9" t="s">
        <v>1230</v>
      </c>
    </row>
    <row r="43" spans="1:13" s="4" customFormat="1" x14ac:dyDescent="0.25">
      <c r="A43" s="12">
        <v>42</v>
      </c>
      <c r="B43" s="13" t="s">
        <v>1231</v>
      </c>
      <c r="C43" s="13" t="s">
        <v>1221</v>
      </c>
      <c r="D43" s="17" t="s">
        <v>1133</v>
      </c>
      <c r="E43" s="13" t="s">
        <v>1140</v>
      </c>
      <c r="F43" s="13" t="s">
        <v>1141</v>
      </c>
      <c r="G43" s="20">
        <v>21</v>
      </c>
      <c r="H43" s="20">
        <v>0</v>
      </c>
      <c r="I43" s="21">
        <v>0</v>
      </c>
      <c r="J43" s="21">
        <v>0</v>
      </c>
      <c r="K43" s="21">
        <v>0</v>
      </c>
      <c r="L43" s="11" t="s">
        <v>1142</v>
      </c>
      <c r="M43" s="13" t="s">
        <v>1143</v>
      </c>
    </row>
    <row r="44" spans="1:13" s="4" customFormat="1" x14ac:dyDescent="0.25">
      <c r="A44" s="8">
        <v>43</v>
      </c>
      <c r="B44" s="9" t="s">
        <v>1232</v>
      </c>
      <c r="C44" s="9" t="s">
        <v>1188</v>
      </c>
      <c r="D44" s="23" t="s">
        <v>1191</v>
      </c>
      <c r="E44" s="9" t="s">
        <v>1191</v>
      </c>
      <c r="F44" s="9" t="s">
        <v>1141</v>
      </c>
      <c r="G44" s="18">
        <v>211</v>
      </c>
      <c r="H44" s="18">
        <v>0</v>
      </c>
      <c r="I44" s="19">
        <v>0</v>
      </c>
      <c r="J44" s="19">
        <v>0</v>
      </c>
      <c r="K44" s="19">
        <v>0</v>
      </c>
      <c r="L44" s="24" t="s">
        <v>1192</v>
      </c>
      <c r="M44" s="9" t="s">
        <v>1193</v>
      </c>
    </row>
    <row r="45" spans="1:13" s="4" customFormat="1" x14ac:dyDescent="0.25">
      <c r="A45" s="12">
        <v>44</v>
      </c>
      <c r="B45" s="13" t="s">
        <v>1233</v>
      </c>
      <c r="C45" s="13" t="s">
        <v>1234</v>
      </c>
      <c r="D45" s="17" t="s">
        <v>1133</v>
      </c>
      <c r="E45" s="13" t="s">
        <v>1147</v>
      </c>
      <c r="F45" s="13" t="s">
        <v>1235</v>
      </c>
      <c r="G45" s="20">
        <v>46</v>
      </c>
      <c r="H45" s="20">
        <v>46</v>
      </c>
      <c r="I45" s="21">
        <v>1</v>
      </c>
      <c r="J45" s="21">
        <v>1</v>
      </c>
      <c r="K45" s="21">
        <v>1</v>
      </c>
      <c r="L45" s="16" t="s">
        <v>1135</v>
      </c>
      <c r="M45" s="13" t="s">
        <v>1136</v>
      </c>
    </row>
    <row r="46" spans="1:13" s="4" customFormat="1" x14ac:dyDescent="0.25">
      <c r="A46" s="8">
        <v>45</v>
      </c>
      <c r="B46" s="9" t="s">
        <v>1236</v>
      </c>
      <c r="C46" s="9" t="s">
        <v>1234</v>
      </c>
      <c r="D46" s="22" t="s">
        <v>1152</v>
      </c>
      <c r="E46" s="9" t="s">
        <v>1140</v>
      </c>
      <c r="F46" s="9" t="s">
        <v>1141</v>
      </c>
      <c r="G46" s="18">
        <v>220</v>
      </c>
      <c r="H46" s="18">
        <v>0</v>
      </c>
      <c r="I46" s="19">
        <v>0</v>
      </c>
      <c r="J46" s="19">
        <v>0</v>
      </c>
      <c r="K46" s="19">
        <v>0</v>
      </c>
      <c r="L46" s="11" t="s">
        <v>1142</v>
      </c>
      <c r="M46" s="9" t="s">
        <v>1237</v>
      </c>
    </row>
    <row r="47" spans="1:13" s="4" customFormat="1" x14ac:dyDescent="0.25">
      <c r="A47" s="12">
        <v>46</v>
      </c>
      <c r="B47" s="13" t="s">
        <v>1238</v>
      </c>
      <c r="C47" s="13" t="s">
        <v>1234</v>
      </c>
      <c r="D47" s="17" t="s">
        <v>1133</v>
      </c>
      <c r="E47" s="13" t="s">
        <v>1147</v>
      </c>
      <c r="F47" s="13" t="s">
        <v>1239</v>
      </c>
      <c r="G47" s="20">
        <v>23</v>
      </c>
      <c r="H47" s="20">
        <v>22</v>
      </c>
      <c r="I47" s="21">
        <v>0.9565</v>
      </c>
      <c r="J47" s="21">
        <v>0.6666</v>
      </c>
      <c r="K47" s="21">
        <v>1</v>
      </c>
      <c r="L47" s="16" t="s">
        <v>1135</v>
      </c>
      <c r="M47" s="13" t="s">
        <v>1136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L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0" customWidth="1"/>
    <col min="4" max="4" width="32" customWidth="1"/>
    <col min="5" max="5" width="24" customWidth="1"/>
    <col min="6" max="6" width="34" customWidth="1"/>
    <col min="7" max="8" width="30" customWidth="1"/>
    <col min="9" max="9" width="40" customWidth="1"/>
    <col min="10" max="10" width="18" customWidth="1"/>
    <col min="11" max="11" width="34" customWidth="1"/>
    <col min="12" max="12" width="12" customWidth="1"/>
  </cols>
  <sheetData>
    <row r="1" ht="30" customHeight="1" spans="1:12" x14ac:dyDescent="0.25">
      <c r="A1" s="7" t="s">
        <v>63</v>
      </c>
      <c r="B1" s="7" t="s">
        <v>68</v>
      </c>
      <c r="C1" s="7" t="s">
        <v>1120</v>
      </c>
      <c r="D1" s="7" t="s">
        <v>64</v>
      </c>
      <c r="E1" s="7" t="s">
        <v>1240</v>
      </c>
      <c r="F1" s="7" t="s">
        <v>1241</v>
      </c>
      <c r="G1" s="7" t="s">
        <v>1242</v>
      </c>
      <c r="H1" s="7" t="s">
        <v>1243</v>
      </c>
      <c r="I1" s="7" t="s">
        <v>73</v>
      </c>
      <c r="J1" s="7" t="s">
        <v>1244</v>
      </c>
      <c r="K1" s="7" t="s">
        <v>1245</v>
      </c>
      <c r="L1" s="7" t="s">
        <v>75</v>
      </c>
    </row>
    <row r="2" spans="1:12" s="4" customFormat="1" x14ac:dyDescent="0.25">
      <c r="A2" s="8" t="s">
        <v>1246</v>
      </c>
      <c r="B2" s="22" t="s">
        <v>1152</v>
      </c>
      <c r="C2" s="9" t="s">
        <v>1155</v>
      </c>
      <c r="D2" s="9" t="s">
        <v>1164</v>
      </c>
      <c r="E2" s="9" t="s">
        <v>213</v>
      </c>
      <c r="F2" s="9" t="s">
        <v>1247</v>
      </c>
      <c r="G2" s="9" t="s">
        <v>1248</v>
      </c>
      <c r="H2" s="9" t="s">
        <v>1249</v>
      </c>
      <c r="I2" s="9" t="s">
        <v>1250</v>
      </c>
      <c r="J2" s="9" t="s">
        <v>1251</v>
      </c>
      <c r="K2" s="9" t="s">
        <v>1252</v>
      </c>
      <c r="L2" s="26" t="s">
        <v>1253</v>
      </c>
    </row>
    <row r="3" spans="1:12" s="4" customFormat="1" x14ac:dyDescent="0.25">
      <c r="A3" s="12" t="s">
        <v>1254</v>
      </c>
      <c r="B3" s="22" t="s">
        <v>1152</v>
      </c>
      <c r="C3" s="13" t="s">
        <v>1155</v>
      </c>
      <c r="D3" s="13" t="s">
        <v>1164</v>
      </c>
      <c r="E3" s="13" t="s">
        <v>233</v>
      </c>
      <c r="F3" s="13" t="s">
        <v>1255</v>
      </c>
      <c r="G3" s="13" t="s">
        <v>1256</v>
      </c>
      <c r="H3" s="13" t="s">
        <v>1257</v>
      </c>
      <c r="I3" s="13" t="s">
        <v>1258</v>
      </c>
      <c r="J3" s="13" t="s">
        <v>1251</v>
      </c>
      <c r="K3" s="13" t="s">
        <v>1252</v>
      </c>
      <c r="L3" s="26" t="s">
        <v>1253</v>
      </c>
    </row>
    <row r="4" spans="1:12" s="4" customFormat="1" x14ac:dyDescent="0.25">
      <c r="A4" s="8" t="s">
        <v>1259</v>
      </c>
      <c r="B4" s="22" t="s">
        <v>1152</v>
      </c>
      <c r="C4" s="9" t="s">
        <v>1155</v>
      </c>
      <c r="D4" s="9" t="s">
        <v>1164</v>
      </c>
      <c r="E4" s="9" t="s">
        <v>233</v>
      </c>
      <c r="F4" s="9" t="s">
        <v>1260</v>
      </c>
      <c r="G4" s="9" t="s">
        <v>1261</v>
      </c>
      <c r="H4" s="9" t="s">
        <v>1262</v>
      </c>
      <c r="I4" s="9" t="s">
        <v>1263</v>
      </c>
      <c r="J4" s="9" t="s">
        <v>1251</v>
      </c>
      <c r="K4" s="9" t="s">
        <v>1252</v>
      </c>
      <c r="L4" s="26" t="s">
        <v>1253</v>
      </c>
    </row>
    <row r="5" spans="1:12" s="4" customFormat="1" x14ac:dyDescent="0.25">
      <c r="A5" s="12" t="s">
        <v>1264</v>
      </c>
      <c r="B5" s="22" t="s">
        <v>1152</v>
      </c>
      <c r="C5" s="13" t="s">
        <v>1155</v>
      </c>
      <c r="D5" s="13" t="s">
        <v>1164</v>
      </c>
      <c r="E5" s="13" t="s">
        <v>1265</v>
      </c>
      <c r="F5" s="13" t="s">
        <v>1266</v>
      </c>
      <c r="G5" s="13" t="s">
        <v>1267</v>
      </c>
      <c r="H5" s="13" t="s">
        <v>1268</v>
      </c>
      <c r="I5" s="13" t="s">
        <v>1269</v>
      </c>
      <c r="J5" s="13" t="s">
        <v>1270</v>
      </c>
      <c r="K5" s="13" t="s">
        <v>1252</v>
      </c>
      <c r="L5" s="26" t="s">
        <v>1253</v>
      </c>
    </row>
    <row r="6" spans="1:12" s="4" customFormat="1" x14ac:dyDescent="0.25">
      <c r="A6" s="8" t="s">
        <v>1271</v>
      </c>
      <c r="B6" s="22" t="s">
        <v>1152</v>
      </c>
      <c r="C6" s="9" t="s">
        <v>1182</v>
      </c>
      <c r="D6" s="9" t="s">
        <v>1184</v>
      </c>
      <c r="E6" s="9" t="s">
        <v>1272</v>
      </c>
      <c r="F6" s="9" t="s">
        <v>1273</v>
      </c>
      <c r="G6" s="9" t="s">
        <v>1274</v>
      </c>
      <c r="H6" s="9" t="s">
        <v>1275</v>
      </c>
      <c r="I6" s="9" t="s">
        <v>1276</v>
      </c>
      <c r="J6" s="9" t="s">
        <v>981</v>
      </c>
      <c r="K6" s="9" t="s">
        <v>1277</v>
      </c>
      <c r="L6" s="26" t="s">
        <v>1253</v>
      </c>
    </row>
    <row r="7" spans="1:12" s="4" customFormat="1" x14ac:dyDescent="0.25">
      <c r="A7" s="12" t="s">
        <v>1278</v>
      </c>
      <c r="B7" s="22" t="s">
        <v>1152</v>
      </c>
      <c r="C7" s="13" t="s">
        <v>1182</v>
      </c>
      <c r="D7" s="13" t="s">
        <v>1184</v>
      </c>
      <c r="E7" s="13" t="s">
        <v>1272</v>
      </c>
      <c r="F7" s="13" t="s">
        <v>1279</v>
      </c>
      <c r="G7" s="13" t="s">
        <v>1280</v>
      </c>
      <c r="H7" s="13" t="s">
        <v>1281</v>
      </c>
      <c r="I7" s="13" t="s">
        <v>1282</v>
      </c>
      <c r="J7" s="13" t="s">
        <v>1283</v>
      </c>
      <c r="K7" s="13" t="s">
        <v>1277</v>
      </c>
      <c r="L7" s="26" t="s">
        <v>1253</v>
      </c>
    </row>
    <row r="8" spans="1:12" s="4" customFormat="1" x14ac:dyDescent="0.25">
      <c r="A8" s="8" t="s">
        <v>1284</v>
      </c>
      <c r="B8" s="22" t="s">
        <v>1152</v>
      </c>
      <c r="C8" s="9" t="s">
        <v>1182</v>
      </c>
      <c r="D8" s="9" t="s">
        <v>1184</v>
      </c>
      <c r="E8" s="9" t="s">
        <v>1285</v>
      </c>
      <c r="F8" s="9" t="s">
        <v>1286</v>
      </c>
      <c r="G8" s="9" t="s">
        <v>1287</v>
      </c>
      <c r="H8" s="9" t="s">
        <v>1288</v>
      </c>
      <c r="I8" s="9" t="s">
        <v>1289</v>
      </c>
      <c r="J8" s="9" t="s">
        <v>981</v>
      </c>
      <c r="K8" s="9" t="s">
        <v>1277</v>
      </c>
      <c r="L8" s="26" t="s">
        <v>1253</v>
      </c>
    </row>
    <row r="9" spans="1:12" s="4" customFormat="1" x14ac:dyDescent="0.25">
      <c r="A9" s="12" t="s">
        <v>1290</v>
      </c>
      <c r="B9" s="22" t="s">
        <v>1152</v>
      </c>
      <c r="C9" s="13" t="s">
        <v>1151</v>
      </c>
      <c r="D9" s="13" t="s">
        <v>1150</v>
      </c>
      <c r="E9" s="13" t="s">
        <v>1291</v>
      </c>
      <c r="F9" s="13" t="s">
        <v>1292</v>
      </c>
      <c r="G9" s="13" t="s">
        <v>1293</v>
      </c>
      <c r="H9" s="13" t="s">
        <v>1294</v>
      </c>
      <c r="I9" s="13" t="s">
        <v>1295</v>
      </c>
      <c r="J9" s="13" t="s">
        <v>981</v>
      </c>
      <c r="K9" s="13" t="s">
        <v>1296</v>
      </c>
      <c r="L9" s="26" t="s">
        <v>1253</v>
      </c>
    </row>
    <row r="10" spans="1:12" s="4" customFormat="1" x14ac:dyDescent="0.25">
      <c r="A10" s="8" t="s">
        <v>1297</v>
      </c>
      <c r="B10" s="22" t="s">
        <v>1152</v>
      </c>
      <c r="C10" s="9" t="s">
        <v>1151</v>
      </c>
      <c r="D10" s="9" t="s">
        <v>1150</v>
      </c>
      <c r="E10" s="9" t="s">
        <v>1298</v>
      </c>
      <c r="F10" s="9" t="s">
        <v>1299</v>
      </c>
      <c r="G10" s="9" t="s">
        <v>1300</v>
      </c>
      <c r="H10" s="9" t="s">
        <v>1301</v>
      </c>
      <c r="I10" s="9" t="s">
        <v>1302</v>
      </c>
      <c r="J10" s="9" t="s">
        <v>1283</v>
      </c>
      <c r="K10" s="9" t="s">
        <v>1296</v>
      </c>
      <c r="L10" s="26" t="s">
        <v>1253</v>
      </c>
    </row>
    <row r="11" spans="1:12" s="4" customFormat="1" x14ac:dyDescent="0.25">
      <c r="A11" s="12" t="s">
        <v>1303</v>
      </c>
      <c r="B11" s="22" t="s">
        <v>1152</v>
      </c>
      <c r="C11" s="13" t="s">
        <v>1155</v>
      </c>
      <c r="D11" s="13" t="s">
        <v>1160</v>
      </c>
      <c r="E11" s="13" t="s">
        <v>1304</v>
      </c>
      <c r="F11" s="13" t="s">
        <v>1305</v>
      </c>
      <c r="G11" s="13" t="s">
        <v>1306</v>
      </c>
      <c r="H11" s="13" t="s">
        <v>1307</v>
      </c>
      <c r="I11" s="13" t="s">
        <v>1308</v>
      </c>
      <c r="J11" s="13" t="s">
        <v>1251</v>
      </c>
      <c r="K11" s="13" t="s">
        <v>1309</v>
      </c>
      <c r="L11" s="26" t="s">
        <v>1253</v>
      </c>
    </row>
    <row r="12" spans="1:12" s="4" customFormat="1" x14ac:dyDescent="0.25">
      <c r="A12" s="8" t="s">
        <v>1310</v>
      </c>
      <c r="B12" s="22" t="s">
        <v>1152</v>
      </c>
      <c r="C12" s="9" t="s">
        <v>1155</v>
      </c>
      <c r="D12" s="9" t="s">
        <v>1160</v>
      </c>
      <c r="E12" s="9" t="s">
        <v>1311</v>
      </c>
      <c r="F12" s="9" t="s">
        <v>1312</v>
      </c>
      <c r="G12" s="9" t="s">
        <v>1313</v>
      </c>
      <c r="H12" s="9" t="s">
        <v>1314</v>
      </c>
      <c r="I12" s="9" t="s">
        <v>1315</v>
      </c>
      <c r="J12" s="9" t="s">
        <v>1251</v>
      </c>
      <c r="K12" s="9" t="s">
        <v>1309</v>
      </c>
      <c r="L12" s="26" t="s">
        <v>1253</v>
      </c>
    </row>
    <row r="13" spans="1:12" s="4" customFormat="1" x14ac:dyDescent="0.25">
      <c r="A13" s="12" t="s">
        <v>1316</v>
      </c>
      <c r="B13" s="22" t="s">
        <v>1152</v>
      </c>
      <c r="C13" s="13" t="s">
        <v>1155</v>
      </c>
      <c r="D13" s="13" t="s">
        <v>1154</v>
      </c>
      <c r="E13" s="13" t="s">
        <v>1317</v>
      </c>
      <c r="F13" s="13" t="s">
        <v>1318</v>
      </c>
      <c r="G13" s="13" t="s">
        <v>1319</v>
      </c>
      <c r="H13" s="13" t="s">
        <v>1320</v>
      </c>
      <c r="I13" s="13" t="s">
        <v>1321</v>
      </c>
      <c r="J13" s="13" t="s">
        <v>981</v>
      </c>
      <c r="K13" s="13" t="s">
        <v>1322</v>
      </c>
      <c r="L13" s="26" t="s">
        <v>1253</v>
      </c>
    </row>
    <row r="14" spans="1:12" s="4" customFormat="1" x14ac:dyDescent="0.25">
      <c r="A14" s="8" t="s">
        <v>1323</v>
      </c>
      <c r="B14" s="22" t="s">
        <v>1152</v>
      </c>
      <c r="C14" s="9" t="s">
        <v>1155</v>
      </c>
      <c r="D14" s="9" t="s">
        <v>1154</v>
      </c>
      <c r="E14" s="9" t="s">
        <v>1324</v>
      </c>
      <c r="F14" s="9" t="s">
        <v>1325</v>
      </c>
      <c r="G14" s="9" t="s">
        <v>1326</v>
      </c>
      <c r="H14" s="9" t="s">
        <v>1327</v>
      </c>
      <c r="I14" s="9" t="s">
        <v>1328</v>
      </c>
      <c r="J14" s="9" t="s">
        <v>1251</v>
      </c>
      <c r="K14" s="9" t="s">
        <v>1322</v>
      </c>
      <c r="L14" s="26" t="s">
        <v>1253</v>
      </c>
    </row>
    <row r="15" spans="1:12" s="4" customFormat="1" x14ac:dyDescent="0.25">
      <c r="A15" s="12" t="s">
        <v>1329</v>
      </c>
      <c r="B15" s="22" t="s">
        <v>1152</v>
      </c>
      <c r="C15" s="13" t="s">
        <v>1211</v>
      </c>
      <c r="D15" s="13" t="s">
        <v>1210</v>
      </c>
      <c r="E15" s="13" t="s">
        <v>1330</v>
      </c>
      <c r="F15" s="13" t="s">
        <v>1331</v>
      </c>
      <c r="G15" s="13" t="s">
        <v>1332</v>
      </c>
      <c r="H15" s="13" t="s">
        <v>1333</v>
      </c>
      <c r="I15" s="13" t="s">
        <v>1334</v>
      </c>
      <c r="J15" s="13" t="s">
        <v>1335</v>
      </c>
      <c r="K15" s="13" t="s">
        <v>1336</v>
      </c>
      <c r="L15" s="26" t="s">
        <v>1253</v>
      </c>
    </row>
    <row r="16" spans="1:12" s="4" customFormat="1" x14ac:dyDescent="0.25">
      <c r="A16" s="8" t="s">
        <v>1337</v>
      </c>
      <c r="B16" s="22" t="s">
        <v>1152</v>
      </c>
      <c r="C16" s="9" t="s">
        <v>1207</v>
      </c>
      <c r="D16" s="9" t="s">
        <v>1206</v>
      </c>
      <c r="E16" s="9" t="s">
        <v>1338</v>
      </c>
      <c r="F16" s="9" t="s">
        <v>1339</v>
      </c>
      <c r="G16" s="9" t="s">
        <v>1340</v>
      </c>
      <c r="H16" s="9" t="s">
        <v>1341</v>
      </c>
      <c r="I16" s="9" t="s">
        <v>1342</v>
      </c>
      <c r="J16" s="9" t="s">
        <v>1343</v>
      </c>
      <c r="K16" s="9" t="s">
        <v>1344</v>
      </c>
      <c r="L16" s="26" t="s">
        <v>1253</v>
      </c>
    </row>
    <row r="17" spans="1:12" s="4" customFormat="1" x14ac:dyDescent="0.25">
      <c r="A17" s="12" t="s">
        <v>1345</v>
      </c>
      <c r="B17" s="22" t="s">
        <v>1152</v>
      </c>
      <c r="C17" s="13" t="s">
        <v>1195</v>
      </c>
      <c r="D17" s="13" t="s">
        <v>1204</v>
      </c>
      <c r="E17" s="13" t="s">
        <v>1006</v>
      </c>
      <c r="F17" s="13" t="s">
        <v>1346</v>
      </c>
      <c r="G17" s="13" t="s">
        <v>1347</v>
      </c>
      <c r="H17" s="13" t="s">
        <v>1348</v>
      </c>
      <c r="I17" s="13" t="s">
        <v>1349</v>
      </c>
      <c r="J17" s="13" t="s">
        <v>1343</v>
      </c>
      <c r="K17" s="13" t="s">
        <v>1350</v>
      </c>
      <c r="L17" s="26" t="s">
        <v>1253</v>
      </c>
    </row>
    <row r="18" spans="1:12" s="4" customFormat="1" x14ac:dyDescent="0.25">
      <c r="A18" s="8" t="s">
        <v>1351</v>
      </c>
      <c r="B18" s="22" t="s">
        <v>1152</v>
      </c>
      <c r="C18" s="9" t="s">
        <v>1234</v>
      </c>
      <c r="D18" s="9" t="s">
        <v>1236</v>
      </c>
      <c r="E18" s="9" t="s">
        <v>1352</v>
      </c>
      <c r="F18" s="9" t="s">
        <v>1353</v>
      </c>
      <c r="G18" s="9" t="s">
        <v>1354</v>
      </c>
      <c r="H18" s="9" t="s">
        <v>1355</v>
      </c>
      <c r="I18" s="9" t="s">
        <v>1356</v>
      </c>
      <c r="J18" s="9" t="s">
        <v>1335</v>
      </c>
      <c r="K18" s="9" t="s">
        <v>1357</v>
      </c>
      <c r="L18" s="26" t="s">
        <v>1253</v>
      </c>
    </row>
    <row r="19" spans="1:12" s="4" customFormat="1" x14ac:dyDescent="0.25">
      <c r="A19" s="12" t="s">
        <v>1358</v>
      </c>
      <c r="B19" s="17" t="s">
        <v>1133</v>
      </c>
      <c r="C19" s="13" t="s">
        <v>1132</v>
      </c>
      <c r="D19" s="13" t="s">
        <v>1144</v>
      </c>
      <c r="E19" s="13" t="s">
        <v>1359</v>
      </c>
      <c r="F19" s="13" t="s">
        <v>1360</v>
      </c>
      <c r="G19" s="13" t="s">
        <v>1361</v>
      </c>
      <c r="H19" s="13" t="s">
        <v>1362</v>
      </c>
      <c r="I19" s="13" t="s">
        <v>1363</v>
      </c>
      <c r="J19" s="13" t="s">
        <v>981</v>
      </c>
      <c r="K19" s="13" t="s">
        <v>1364</v>
      </c>
      <c r="L19" s="26" t="s">
        <v>1253</v>
      </c>
    </row>
    <row r="20" spans="1:12" s="4" customFormat="1" x14ac:dyDescent="0.25">
      <c r="A20" s="8" t="s">
        <v>1365</v>
      </c>
      <c r="B20" s="17" t="s">
        <v>1133</v>
      </c>
      <c r="C20" s="9" t="s">
        <v>1155</v>
      </c>
      <c r="D20" s="9" t="s">
        <v>1176</v>
      </c>
      <c r="E20" s="9" t="s">
        <v>1366</v>
      </c>
      <c r="F20" s="9" t="s">
        <v>1367</v>
      </c>
      <c r="G20" s="9" t="s">
        <v>1368</v>
      </c>
      <c r="H20" s="9" t="s">
        <v>1369</v>
      </c>
      <c r="I20" s="9" t="s">
        <v>1370</v>
      </c>
      <c r="J20" s="9" t="s">
        <v>1251</v>
      </c>
      <c r="K20" s="9" t="s">
        <v>1371</v>
      </c>
      <c r="L20" s="26" t="s">
        <v>1253</v>
      </c>
    </row>
    <row r="21" spans="1:12" s="4" customFormat="1" x14ac:dyDescent="0.25">
      <c r="A21" s="12" t="s">
        <v>1372</v>
      </c>
      <c r="B21" s="17" t="s">
        <v>1133</v>
      </c>
      <c r="C21" s="13" t="s">
        <v>1155</v>
      </c>
      <c r="D21" s="13" t="s">
        <v>1169</v>
      </c>
      <c r="E21" s="13" t="s">
        <v>1373</v>
      </c>
      <c r="F21" s="13" t="s">
        <v>1374</v>
      </c>
      <c r="G21" s="13" t="s">
        <v>1293</v>
      </c>
      <c r="H21" s="13" t="s">
        <v>1375</v>
      </c>
      <c r="I21" s="13" t="s">
        <v>1376</v>
      </c>
      <c r="J21" s="13" t="s">
        <v>1251</v>
      </c>
      <c r="K21" s="13" t="s">
        <v>1377</v>
      </c>
      <c r="L21" s="26" t="s">
        <v>1253</v>
      </c>
    </row>
    <row r="22" spans="1:12" s="4" customFormat="1" x14ac:dyDescent="0.25">
      <c r="A22" s="8" t="s">
        <v>1378</v>
      </c>
      <c r="B22" s="17" t="s">
        <v>1133</v>
      </c>
      <c r="C22" s="9" t="s">
        <v>1155</v>
      </c>
      <c r="D22" s="9" t="s">
        <v>1171</v>
      </c>
      <c r="E22" s="9" t="s">
        <v>1379</v>
      </c>
      <c r="F22" s="9" t="s">
        <v>1380</v>
      </c>
      <c r="G22" s="9" t="s">
        <v>1381</v>
      </c>
      <c r="H22" s="9" t="s">
        <v>1382</v>
      </c>
      <c r="I22" s="9" t="s">
        <v>1383</v>
      </c>
      <c r="J22" s="9" t="s">
        <v>1251</v>
      </c>
      <c r="K22" s="9" t="s">
        <v>1384</v>
      </c>
      <c r="L22" s="26" t="s">
        <v>1253</v>
      </c>
    </row>
    <row r="23" spans="1:12" s="4" customFormat="1" x14ac:dyDescent="0.25">
      <c r="A23" s="12" t="s">
        <v>1385</v>
      </c>
      <c r="B23" s="17" t="s">
        <v>1133</v>
      </c>
      <c r="C23" s="13" t="s">
        <v>1155</v>
      </c>
      <c r="D23" s="13" t="s">
        <v>1173</v>
      </c>
      <c r="E23" s="13" t="s">
        <v>1386</v>
      </c>
      <c r="F23" s="13" t="s">
        <v>1387</v>
      </c>
      <c r="G23" s="13" t="s">
        <v>1381</v>
      </c>
      <c r="H23" s="13" t="s">
        <v>1388</v>
      </c>
      <c r="I23" s="13" t="s">
        <v>1389</v>
      </c>
      <c r="J23" s="13" t="s">
        <v>1251</v>
      </c>
      <c r="K23" s="13" t="s">
        <v>1390</v>
      </c>
      <c r="L23" s="26" t="s">
        <v>1253</v>
      </c>
    </row>
    <row r="24" spans="1:12" s="4" customFormat="1" x14ac:dyDescent="0.25">
      <c r="A24" s="8" t="s">
        <v>1391</v>
      </c>
      <c r="B24" s="17" t="s">
        <v>1133</v>
      </c>
      <c r="C24" s="9" t="s">
        <v>1155</v>
      </c>
      <c r="D24" s="9" t="s">
        <v>1167</v>
      </c>
      <c r="E24" s="9" t="s">
        <v>1392</v>
      </c>
      <c r="F24" s="9" t="s">
        <v>1393</v>
      </c>
      <c r="G24" s="9" t="s">
        <v>1381</v>
      </c>
      <c r="H24" s="9" t="s">
        <v>1394</v>
      </c>
      <c r="I24" s="9" t="s">
        <v>1395</v>
      </c>
      <c r="J24" s="9" t="s">
        <v>1251</v>
      </c>
      <c r="K24" s="9" t="s">
        <v>1396</v>
      </c>
      <c r="L24" s="26" t="s">
        <v>1253</v>
      </c>
    </row>
    <row r="25" spans="1:12" s="4" customFormat="1" x14ac:dyDescent="0.25">
      <c r="A25" s="12" t="s">
        <v>1397</v>
      </c>
      <c r="B25" s="17" t="s">
        <v>1133</v>
      </c>
      <c r="C25" s="13" t="s">
        <v>1155</v>
      </c>
      <c r="D25" s="13" t="s">
        <v>1162</v>
      </c>
      <c r="E25" s="13" t="s">
        <v>1398</v>
      </c>
      <c r="F25" s="13" t="s">
        <v>1399</v>
      </c>
      <c r="G25" s="13" t="s">
        <v>1381</v>
      </c>
      <c r="H25" s="13" t="s">
        <v>1400</v>
      </c>
      <c r="I25" s="13" t="s">
        <v>1401</v>
      </c>
      <c r="J25" s="13" t="s">
        <v>1251</v>
      </c>
      <c r="K25" s="13" t="s">
        <v>1402</v>
      </c>
      <c r="L25" s="26" t="s">
        <v>1253</v>
      </c>
    </row>
    <row r="26" spans="1:12" s="4" customFormat="1" x14ac:dyDescent="0.25">
      <c r="A26" s="8" t="s">
        <v>1403</v>
      </c>
      <c r="B26" s="17" t="s">
        <v>1133</v>
      </c>
      <c r="C26" s="9" t="s">
        <v>1155</v>
      </c>
      <c r="D26" s="9" t="s">
        <v>1158</v>
      </c>
      <c r="E26" s="9" t="s">
        <v>1404</v>
      </c>
      <c r="F26" s="9" t="s">
        <v>1405</v>
      </c>
      <c r="G26" s="9" t="s">
        <v>1406</v>
      </c>
      <c r="H26" s="9" t="s">
        <v>1407</v>
      </c>
      <c r="I26" s="9" t="s">
        <v>1408</v>
      </c>
      <c r="J26" s="9" t="s">
        <v>1251</v>
      </c>
      <c r="K26" s="9" t="s">
        <v>1409</v>
      </c>
      <c r="L26" s="26" t="s">
        <v>1253</v>
      </c>
    </row>
    <row r="27" spans="1:12" s="4" customFormat="1" x14ac:dyDescent="0.25">
      <c r="A27" s="12" t="s">
        <v>1410</v>
      </c>
      <c r="B27" s="17" t="s">
        <v>1133</v>
      </c>
      <c r="C27" s="13" t="s">
        <v>1221</v>
      </c>
      <c r="D27" s="13" t="s">
        <v>1223</v>
      </c>
      <c r="E27" s="13" t="s">
        <v>1411</v>
      </c>
      <c r="F27" s="13" t="s">
        <v>1412</v>
      </c>
      <c r="G27" s="13" t="s">
        <v>1413</v>
      </c>
      <c r="H27" s="13" t="s">
        <v>1414</v>
      </c>
      <c r="I27" s="13" t="s">
        <v>1415</v>
      </c>
      <c r="J27" s="13" t="s">
        <v>981</v>
      </c>
      <c r="K27" s="13" t="s">
        <v>1416</v>
      </c>
      <c r="L27" s="26" t="s">
        <v>1253</v>
      </c>
    </row>
    <row r="28" spans="1:12" s="4" customFormat="1" x14ac:dyDescent="0.25">
      <c r="A28" s="8" t="s">
        <v>1417</v>
      </c>
      <c r="B28" s="17" t="s">
        <v>1133</v>
      </c>
      <c r="C28" s="9" t="s">
        <v>1221</v>
      </c>
      <c r="D28" s="9" t="s">
        <v>1227</v>
      </c>
      <c r="E28" s="9" t="s">
        <v>1418</v>
      </c>
      <c r="F28" s="9" t="s">
        <v>1419</v>
      </c>
      <c r="G28" s="9" t="s">
        <v>1413</v>
      </c>
      <c r="H28" s="9" t="s">
        <v>1420</v>
      </c>
      <c r="I28" s="9" t="s">
        <v>1421</v>
      </c>
      <c r="J28" s="9" t="s">
        <v>981</v>
      </c>
      <c r="K28" s="9" t="s">
        <v>1422</v>
      </c>
      <c r="L28" s="26" t="s">
        <v>1253</v>
      </c>
    </row>
    <row r="29" spans="1:12" s="4" customFormat="1" x14ac:dyDescent="0.25">
      <c r="A29" s="12" t="s">
        <v>1423</v>
      </c>
      <c r="B29" s="17" t="s">
        <v>1133</v>
      </c>
      <c r="C29" s="13" t="s">
        <v>1221</v>
      </c>
      <c r="D29" s="13" t="s">
        <v>1229</v>
      </c>
      <c r="E29" s="13" t="s">
        <v>1424</v>
      </c>
      <c r="F29" s="13" t="s">
        <v>1425</v>
      </c>
      <c r="G29" s="13" t="s">
        <v>1413</v>
      </c>
      <c r="H29" s="13" t="s">
        <v>1426</v>
      </c>
      <c r="I29" s="13" t="s">
        <v>1427</v>
      </c>
      <c r="J29" s="13" t="s">
        <v>981</v>
      </c>
      <c r="K29" s="13" t="s">
        <v>1428</v>
      </c>
      <c r="L29" s="26" t="s">
        <v>1253</v>
      </c>
    </row>
    <row r="30" spans="1:12" s="4" customFormat="1" x14ac:dyDescent="0.25">
      <c r="A30" s="8" t="s">
        <v>1429</v>
      </c>
      <c r="B30" s="17" t="s">
        <v>1133</v>
      </c>
      <c r="C30" s="9" t="s">
        <v>1221</v>
      </c>
      <c r="D30" s="9" t="s">
        <v>1225</v>
      </c>
      <c r="E30" s="9" t="s">
        <v>1424</v>
      </c>
      <c r="F30" s="9" t="s">
        <v>1430</v>
      </c>
      <c r="G30" s="9" t="s">
        <v>1413</v>
      </c>
      <c r="H30" s="9" t="s">
        <v>1431</v>
      </c>
      <c r="I30" s="9" t="s">
        <v>1432</v>
      </c>
      <c r="J30" s="9" t="s">
        <v>981</v>
      </c>
      <c r="K30" s="9" t="s">
        <v>1433</v>
      </c>
      <c r="L30" s="26" t="s">
        <v>1253</v>
      </c>
    </row>
    <row r="31" spans="1:12" s="4" customFormat="1" x14ac:dyDescent="0.25">
      <c r="A31" s="12" t="s">
        <v>1434</v>
      </c>
      <c r="B31" s="17" t="s">
        <v>1133</v>
      </c>
      <c r="C31" s="13" t="s">
        <v>1221</v>
      </c>
      <c r="D31" s="13" t="s">
        <v>1220</v>
      </c>
      <c r="E31" s="13" t="s">
        <v>1435</v>
      </c>
      <c r="F31" s="13" t="s">
        <v>1436</v>
      </c>
      <c r="G31" s="13" t="s">
        <v>1413</v>
      </c>
      <c r="H31" s="13" t="s">
        <v>1437</v>
      </c>
      <c r="I31" s="13" t="s">
        <v>1438</v>
      </c>
      <c r="J31" s="13" t="s">
        <v>981</v>
      </c>
      <c r="K31" s="13" t="s">
        <v>1439</v>
      </c>
      <c r="L31" s="26" t="s">
        <v>1253</v>
      </c>
    </row>
    <row r="32" spans="1:12" s="4" customFormat="1" x14ac:dyDescent="0.25">
      <c r="A32" s="8" t="s">
        <v>1440</v>
      </c>
      <c r="B32" s="17" t="s">
        <v>1133</v>
      </c>
      <c r="C32" s="9" t="s">
        <v>1214</v>
      </c>
      <c r="D32" s="9" t="s">
        <v>1218</v>
      </c>
      <c r="E32" s="9" t="s">
        <v>1441</v>
      </c>
      <c r="F32" s="9" t="s">
        <v>1442</v>
      </c>
      <c r="G32" s="9" t="s">
        <v>1443</v>
      </c>
      <c r="H32" s="9" t="s">
        <v>1444</v>
      </c>
      <c r="I32" s="9" t="s">
        <v>1445</v>
      </c>
      <c r="J32" s="9" t="s">
        <v>1343</v>
      </c>
      <c r="K32" s="9" t="s">
        <v>1446</v>
      </c>
      <c r="L32" s="26" t="s">
        <v>1253</v>
      </c>
    </row>
    <row r="33" spans="1:12" s="4" customFormat="1" x14ac:dyDescent="0.25">
      <c r="A33" s="12" t="s">
        <v>1447</v>
      </c>
      <c r="B33" s="17" t="s">
        <v>1133</v>
      </c>
      <c r="C33" s="13" t="s">
        <v>1195</v>
      </c>
      <c r="D33" s="13" t="s">
        <v>1194</v>
      </c>
      <c r="E33" s="13" t="s">
        <v>1448</v>
      </c>
      <c r="F33" s="13" t="s">
        <v>1449</v>
      </c>
      <c r="G33" s="13" t="s">
        <v>1450</v>
      </c>
      <c r="H33" s="13" t="s">
        <v>1451</v>
      </c>
      <c r="I33" s="13" t="s">
        <v>1452</v>
      </c>
      <c r="J33" s="13" t="s">
        <v>1343</v>
      </c>
      <c r="K33" s="13" t="s">
        <v>1453</v>
      </c>
      <c r="L33" s="26" t="s">
        <v>1253</v>
      </c>
    </row>
    <row r="34" spans="1:12" s="4" customFormat="1" x14ac:dyDescent="0.25">
      <c r="A34" s="8" t="s">
        <v>1454</v>
      </c>
      <c r="B34" s="25" t="s">
        <v>1198</v>
      </c>
      <c r="C34" s="9" t="s">
        <v>1214</v>
      </c>
      <c r="D34" s="9" t="s">
        <v>1213</v>
      </c>
      <c r="E34" s="9" t="s">
        <v>1455</v>
      </c>
      <c r="F34" s="9" t="s">
        <v>1456</v>
      </c>
      <c r="G34" s="9" t="s">
        <v>1457</v>
      </c>
      <c r="H34" s="9" t="s">
        <v>1458</v>
      </c>
      <c r="I34" s="9" t="s">
        <v>1459</v>
      </c>
      <c r="J34" s="9" t="s">
        <v>1343</v>
      </c>
      <c r="K34" s="9" t="s">
        <v>1460</v>
      </c>
      <c r="L34" s="26" t="s">
        <v>1253</v>
      </c>
    </row>
    <row r="35" spans="1:12" s="4" customFormat="1" x14ac:dyDescent="0.25">
      <c r="A35" s="12" t="s">
        <v>1461</v>
      </c>
      <c r="B35" s="25" t="s">
        <v>1198</v>
      </c>
      <c r="C35" s="13" t="s">
        <v>1214</v>
      </c>
      <c r="D35" s="13" t="s">
        <v>1216</v>
      </c>
      <c r="E35" s="13" t="s">
        <v>1462</v>
      </c>
      <c r="F35" s="13" t="s">
        <v>1463</v>
      </c>
      <c r="G35" s="13" t="s">
        <v>1464</v>
      </c>
      <c r="H35" s="13" t="s">
        <v>1465</v>
      </c>
      <c r="I35" s="13" t="s">
        <v>1466</v>
      </c>
      <c r="J35" s="13" t="s">
        <v>1343</v>
      </c>
      <c r="K35" s="13" t="s">
        <v>1467</v>
      </c>
      <c r="L35" s="26" t="s">
        <v>1253</v>
      </c>
    </row>
    <row r="36" spans="1:12" s="4" customFormat="1" x14ac:dyDescent="0.25">
      <c r="A36" s="8" t="s">
        <v>1468</v>
      </c>
      <c r="B36" s="25" t="s">
        <v>1198</v>
      </c>
      <c r="C36" s="9" t="s">
        <v>1195</v>
      </c>
      <c r="D36" s="9" t="s">
        <v>1200</v>
      </c>
      <c r="E36" s="9" t="s">
        <v>1469</v>
      </c>
      <c r="F36" s="9" t="s">
        <v>1470</v>
      </c>
      <c r="G36" s="9" t="s">
        <v>1471</v>
      </c>
      <c r="H36" s="9" t="s">
        <v>1472</v>
      </c>
      <c r="I36" s="9" t="s">
        <v>1473</v>
      </c>
      <c r="J36" s="9" t="s">
        <v>1343</v>
      </c>
      <c r="K36" s="9" t="s">
        <v>1474</v>
      </c>
      <c r="L36" s="26" t="s">
        <v>1253</v>
      </c>
    </row>
    <row r="37" spans="1:12" s="4" customFormat="1" x14ac:dyDescent="0.25">
      <c r="A37" s="12" t="s">
        <v>1475</v>
      </c>
      <c r="B37" s="25" t="s">
        <v>1198</v>
      </c>
      <c r="C37" s="13" t="s">
        <v>1195</v>
      </c>
      <c r="D37" s="13" t="s">
        <v>1202</v>
      </c>
      <c r="E37" s="13" t="s">
        <v>1476</v>
      </c>
      <c r="F37" s="13" t="s">
        <v>1477</v>
      </c>
      <c r="G37" s="13" t="s">
        <v>1478</v>
      </c>
      <c r="H37" s="13" t="s">
        <v>1479</v>
      </c>
      <c r="I37" s="13" t="s">
        <v>1480</v>
      </c>
      <c r="J37" s="13" t="s">
        <v>1343</v>
      </c>
      <c r="K37" s="13" t="s">
        <v>1481</v>
      </c>
      <c r="L37" s="26" t="s">
        <v>1253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2:F49"/>
  <sheetFormatPr defaultRowHeight="15" outlineLevelRow="0" outlineLevelCol="0" x14ac:dyDescent="55"/>
  <cols>
    <col min="1" max="1" width="4" customWidth="1"/>
    <col min="2" max="2" width="36" customWidth="1"/>
    <col min="3" max="3" width="14" customWidth="1"/>
    <col min="4" max="4" width="4" customWidth="1"/>
    <col min="5" max="5" width="20" customWidth="1"/>
    <col min="6" max="6" width="14" customWidth="1"/>
  </cols>
  <sheetData>
    <row r="2" spans="2:3" x14ac:dyDescent="0.25">
      <c r="B2" s="27" t="s">
        <v>1482</v>
      </c>
      <c r="C2" s="27"/>
    </row>
    <row r="4" spans="2:3" x14ac:dyDescent="0.25">
      <c r="B4" s="3" t="s">
        <v>1483</v>
      </c>
      <c r="C4" s="28">
        <f>COUNTA('Casos de Teste'!A2:A158)</f>
      </c>
    </row>
    <row r="6" spans="2:6" x14ac:dyDescent="0.25">
      <c r="B6" s="29" t="s">
        <v>1484</v>
      </c>
      <c r="C6" s="30"/>
      <c r="E6" s="29" t="s">
        <v>1485</v>
      </c>
      <c r="F6" s="30"/>
    </row>
    <row r="7" spans="2:6" x14ac:dyDescent="0.25">
      <c r="B7" s="31" t="s">
        <v>78</v>
      </c>
      <c r="C7" s="32">
        <f>COUNTIF('Casos de Teste'!$B$2:$B$158,B7)</f>
      </c>
      <c r="E7" s="31" t="s">
        <v>81</v>
      </c>
      <c r="F7" s="32">
        <f>COUNTIF('Casos de Teste'!$E$2:$E$158,E7)</f>
      </c>
    </row>
    <row r="8" spans="2:6" x14ac:dyDescent="0.25">
      <c r="B8" s="31" t="s">
        <v>160</v>
      </c>
      <c r="C8" s="32">
        <f>COUNTIF('Casos de Teste'!$B$2:$B$158,B8)</f>
      </c>
      <c r="E8" s="31" t="s">
        <v>100</v>
      </c>
      <c r="F8" s="32">
        <f>COUNTIF('Casos de Teste'!$E$2:$E$158,E8)</f>
      </c>
    </row>
    <row r="9" spans="2:6" x14ac:dyDescent="0.25">
      <c r="B9" s="31" t="s">
        <v>249</v>
      </c>
      <c r="C9" s="32">
        <f>COUNTIF('Casos de Teste'!$B$2:$B$158,B9)</f>
      </c>
      <c r="E9" s="31" t="s">
        <v>123</v>
      </c>
      <c r="F9" s="32">
        <f>COUNTIF('Casos de Teste'!$E$2:$E$158,E9)</f>
      </c>
    </row>
    <row r="10" spans="2:6" x14ac:dyDescent="0.25">
      <c r="B10" s="31" t="s">
        <v>271</v>
      </c>
      <c r="C10" s="32">
        <f>COUNTIF('Casos de Teste'!$B$2:$B$158,B10)</f>
      </c>
      <c r="E10" s="31" t="s">
        <v>981</v>
      </c>
      <c r="F10" s="32">
        <f>COUNTIF('Casos de Teste'!$E$2:$E$158,E10)</f>
      </c>
    </row>
    <row r="11" spans="2:3" x14ac:dyDescent="0.25">
      <c r="B11" s="31" t="s">
        <v>338</v>
      </c>
      <c r="C11" s="32">
        <f>COUNTIF('Casos de Teste'!$B$2:$B$158,B11)</f>
      </c>
    </row>
    <row r="12" spans="2:3" x14ac:dyDescent="0.25">
      <c r="B12" s="31" t="s">
        <v>401</v>
      </c>
      <c r="C12" s="32">
        <f>COUNTIF('Casos de Teste'!$B$2:$B$158,B12)</f>
      </c>
    </row>
    <row r="13" spans="2:3" x14ac:dyDescent="0.25">
      <c r="B13" s="31" t="s">
        <v>553</v>
      </c>
      <c r="C13" s="32">
        <f>COUNTIF('Casos de Teste'!$B$2:$B$158,B13)</f>
      </c>
    </row>
    <row r="14" spans="2:3" x14ac:dyDescent="0.25">
      <c r="B14" s="31" t="s">
        <v>605</v>
      </c>
      <c r="C14" s="32">
        <f>COUNTIF('Casos de Teste'!$B$2:$B$158,B14)</f>
      </c>
    </row>
    <row r="15" spans="2:3" x14ac:dyDescent="0.25">
      <c r="B15" s="31" t="s">
        <v>668</v>
      </c>
      <c r="C15" s="32">
        <f>COUNTIF('Casos de Teste'!$B$2:$B$158,B15)</f>
      </c>
    </row>
    <row r="16" spans="2:3" x14ac:dyDescent="0.25">
      <c r="B16" s="31" t="s">
        <v>726</v>
      </c>
      <c r="C16" s="32">
        <f>COUNTIF('Casos de Teste'!$B$2:$B$158,B16)</f>
      </c>
    </row>
    <row r="17" spans="2:3" x14ac:dyDescent="0.25">
      <c r="B17" s="31" t="s">
        <v>788</v>
      </c>
      <c r="C17" s="32">
        <f>COUNTIF('Casos de Teste'!$B$2:$B$158,B17)</f>
      </c>
    </row>
    <row r="18" spans="2:3" x14ac:dyDescent="0.25">
      <c r="B18" s="31" t="s">
        <v>806</v>
      </c>
      <c r="C18" s="32">
        <f>COUNTIF('Casos de Teste'!$B$2:$B$158,B18)</f>
      </c>
    </row>
    <row r="19" spans="2:3" x14ac:dyDescent="0.25">
      <c r="B19" s="31" t="s">
        <v>836</v>
      </c>
      <c r="C19" s="32">
        <f>COUNTIF('Casos de Teste'!$B$2:$B$158,B19)</f>
      </c>
    </row>
    <row r="20" spans="2:3" x14ac:dyDescent="0.25">
      <c r="B20" s="31" t="s">
        <v>879</v>
      </c>
      <c r="C20" s="32">
        <f>COUNTIF('Casos de Teste'!$B$2:$B$158,B20)</f>
      </c>
    </row>
    <row r="21" spans="2:3" x14ac:dyDescent="0.25">
      <c r="B21" s="31" t="s">
        <v>930</v>
      </c>
      <c r="C21" s="32">
        <f>COUNTIF('Casos de Teste'!$B$2:$B$158,B21)</f>
      </c>
    </row>
    <row r="22" spans="2:3" x14ac:dyDescent="0.25">
      <c r="B22" s="31" t="s">
        <v>989</v>
      </c>
      <c r="C22" s="32">
        <f>COUNTIF('Casos de Teste'!$B$2:$B$158,B22)</f>
      </c>
    </row>
    <row r="23" spans="2:3" x14ac:dyDescent="0.25">
      <c r="B23" s="31" t="s">
        <v>1085</v>
      </c>
      <c r="C23" s="32">
        <f>COUNTIF('Casos de Teste'!$B$2:$B$158,B23)</f>
      </c>
    </row>
    <row r="26" spans="2:3" x14ac:dyDescent="0.25">
      <c r="B26" s="29" t="s">
        <v>1486</v>
      </c>
      <c r="C26" s="29"/>
    </row>
    <row r="27" spans="2:3" x14ac:dyDescent="0.25">
      <c r="B27" s="33" t="s">
        <v>82</v>
      </c>
      <c r="C27" s="32">
        <f>COUNTIF('Casos de Teste'!$F$2:$F$158,B27)</f>
      </c>
    </row>
    <row r="28" spans="2:3" x14ac:dyDescent="0.25">
      <c r="B28" s="34" t="s">
        <v>146</v>
      </c>
      <c r="C28" s="32">
        <f>COUNTIF('Casos de Teste'!$F$2:$F$158,B28)</f>
      </c>
    </row>
    <row r="29" spans="2:3" x14ac:dyDescent="0.25">
      <c r="B29" s="35" t="s">
        <v>327</v>
      </c>
      <c r="C29" s="32">
        <f>COUNTIF('Casos de Teste'!$F$2:$F$158,B29)</f>
      </c>
    </row>
    <row r="32" spans="2:3" x14ac:dyDescent="0.25">
      <c r="B32" s="29" t="s">
        <v>1487</v>
      </c>
      <c r="C32" s="29"/>
    </row>
    <row r="33" spans="2:3" x14ac:dyDescent="0.25">
      <c r="B33" s="31" t="s">
        <v>1488</v>
      </c>
      <c r="C33" s="32">
        <f>COUNTIF('Casos de Teste'!$L$2:$L$158,"*test*")</f>
      </c>
    </row>
    <row r="34" spans="2:3" x14ac:dyDescent="0.25">
      <c r="B34" s="31" t="s">
        <v>1489</v>
      </c>
      <c r="C34" s="32">
        <f>COUNTIF('Casos de Teste'!$L$2:$L$158,"Manual*")</f>
      </c>
    </row>
    <row r="36" spans="2:3" x14ac:dyDescent="0.25">
      <c r="B36" s="29" t="s">
        <v>1490</v>
      </c>
      <c r="C36" s="29"/>
    </row>
    <row r="37" spans="2:3" x14ac:dyDescent="0.25">
      <c r="B37" s="31" t="s">
        <v>1491</v>
      </c>
      <c r="C37" s="36">
        <v>0.2014</v>
      </c>
    </row>
    <row r="38" spans="2:3" x14ac:dyDescent="0.25">
      <c r="B38" s="31" t="s">
        <v>1492</v>
      </c>
      <c r="C38" s="36">
        <v>0.5909</v>
      </c>
    </row>
    <row r="39" spans="2:3" x14ac:dyDescent="0.25">
      <c r="B39" s="31" t="s">
        <v>1493</v>
      </c>
      <c r="C39" s="36">
        <v>0.5081</v>
      </c>
    </row>
    <row r="41" spans="2:3" x14ac:dyDescent="0.25">
      <c r="B41" s="31" t="s">
        <v>1494</v>
      </c>
      <c r="C41" s="32">
        <f>COUNTIF('Matriz de Cobertura por Arquivo'!$L$2:$L$47,"Coberto")</f>
      </c>
    </row>
    <row r="42" spans="2:3" x14ac:dyDescent="0.25">
      <c r="B42" s="31" t="s">
        <v>1495</v>
      </c>
      <c r="C42" s="32">
        <f>COUNTIF('Matriz de Cobertura por Arquivo'!$L$2:$L$47,"Parcial")</f>
      </c>
    </row>
    <row r="43" spans="2:3" x14ac:dyDescent="0.25">
      <c r="B43" s="31" t="s">
        <v>1496</v>
      </c>
      <c r="C43" s="32">
        <f>COUNTIF('Matriz de Cobertura por Arquivo'!$L$2:$L$47,"Sem cobertura")</f>
      </c>
    </row>
    <row r="45" spans="2:3" x14ac:dyDescent="0.25">
      <c r="B45" s="29" t="s">
        <v>1497</v>
      </c>
      <c r="C45" s="29"/>
    </row>
    <row r="46" spans="2:3" x14ac:dyDescent="0.25">
      <c r="B46" s="33" t="s">
        <v>1152</v>
      </c>
      <c r="C46" s="32">
        <f>COUNTIF('Lacunas de Testes Unitários'!$B$2:$B$37,B46)</f>
      </c>
    </row>
    <row r="47" spans="2:3" x14ac:dyDescent="0.25">
      <c r="B47" s="34" t="s">
        <v>1133</v>
      </c>
      <c r="C47" s="32">
        <f>COUNTIF('Lacunas de Testes Unitários'!$B$2:$B$37,B47)</f>
      </c>
    </row>
    <row r="48" spans="2:3" x14ac:dyDescent="0.25">
      <c r="B48" s="35" t="s">
        <v>1198</v>
      </c>
      <c r="C48" s="32">
        <f>COUNTIF('Lacunas de Testes Unitários'!$B$2:$B$37,B48)</f>
      </c>
    </row>
    <row r="49" spans="2:3" x14ac:dyDescent="0.25">
      <c r="B49" s="3" t="s">
        <v>1498</v>
      </c>
      <c r="C49" s="3">
        <f>COUNTA('Lacunas de Testes Unitários'!A2:A37)</f>
      </c>
    </row>
  </sheetData>
  <mergeCells count="5">
    <mergeCell ref="B2:C2"/>
    <mergeCell ref="B26:C26"/>
    <mergeCell ref="B32:C32"/>
    <mergeCell ref="B36:C36"/>
    <mergeCell ref="B45:C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4" width="44" customWidth="1"/>
    <col min="5" max="5" width="30" customWidth="1"/>
    <col min="6" max="6" width="10" customWidth="1"/>
  </cols>
  <sheetData>
    <row r="1" ht="30" customHeight="1" spans="1:6" x14ac:dyDescent="0.25">
      <c r="A1" s="7" t="s">
        <v>63</v>
      </c>
      <c r="B1" s="7" t="s">
        <v>1499</v>
      </c>
      <c r="C1" s="7" t="s">
        <v>1500</v>
      </c>
      <c r="D1" s="7" t="s">
        <v>1501</v>
      </c>
      <c r="E1" s="7" t="s">
        <v>1502</v>
      </c>
      <c r="F1" s="7" t="s">
        <v>68</v>
      </c>
    </row>
    <row r="2" spans="1:6" s="4" customFormat="1" x14ac:dyDescent="0.25">
      <c r="A2" s="8" t="s">
        <v>1503</v>
      </c>
      <c r="B2" s="10" t="s">
        <v>100</v>
      </c>
      <c r="C2" s="9" t="s">
        <v>1504</v>
      </c>
      <c r="D2" s="9" t="s">
        <v>1505</v>
      </c>
      <c r="E2" s="9" t="s">
        <v>1506</v>
      </c>
      <c r="F2" s="22" t="s">
        <v>82</v>
      </c>
    </row>
    <row r="3" spans="1:6" s="4" customFormat="1" x14ac:dyDescent="0.25">
      <c r="A3" s="12" t="s">
        <v>1507</v>
      </c>
      <c r="B3" s="14" t="s">
        <v>100</v>
      </c>
      <c r="C3" s="13" t="s">
        <v>1508</v>
      </c>
      <c r="D3" s="13" t="s">
        <v>1509</v>
      </c>
      <c r="E3" s="13" t="s">
        <v>1510</v>
      </c>
      <c r="F3" s="22" t="s">
        <v>82</v>
      </c>
    </row>
    <row r="4" spans="1:6" s="4" customFormat="1" x14ac:dyDescent="0.25">
      <c r="A4" s="8" t="s">
        <v>1511</v>
      </c>
      <c r="B4" s="10" t="s">
        <v>100</v>
      </c>
      <c r="C4" s="9" t="s">
        <v>1512</v>
      </c>
      <c r="D4" s="9" t="s">
        <v>1513</v>
      </c>
      <c r="E4" s="9" t="s">
        <v>1514</v>
      </c>
      <c r="F4" s="22" t="s">
        <v>82</v>
      </c>
    </row>
    <row r="5" spans="1:6" s="4" customFormat="1" x14ac:dyDescent="0.25">
      <c r="A5" s="12" t="s">
        <v>1515</v>
      </c>
      <c r="B5" s="14" t="s">
        <v>100</v>
      </c>
      <c r="C5" s="13" t="s">
        <v>1516</v>
      </c>
      <c r="D5" s="13" t="s">
        <v>1517</v>
      </c>
      <c r="E5" s="13" t="s">
        <v>1518</v>
      </c>
      <c r="F5" s="22" t="s">
        <v>82</v>
      </c>
    </row>
    <row r="6" spans="1:6" s="4" customFormat="1" x14ac:dyDescent="0.25">
      <c r="A6" s="8" t="s">
        <v>1519</v>
      </c>
      <c r="B6" s="10" t="s">
        <v>100</v>
      </c>
      <c r="C6" s="9" t="s">
        <v>1520</v>
      </c>
      <c r="D6" s="9" t="s">
        <v>1521</v>
      </c>
      <c r="E6" s="9" t="s">
        <v>1522</v>
      </c>
      <c r="F6" s="17" t="s">
        <v>146</v>
      </c>
    </row>
    <row r="7" spans="1:6" s="4" customFormat="1" x14ac:dyDescent="0.25">
      <c r="A7" s="12" t="s">
        <v>1523</v>
      </c>
      <c r="B7" s="14" t="s">
        <v>1524</v>
      </c>
      <c r="C7" s="13" t="s">
        <v>1525</v>
      </c>
      <c r="D7" s="13" t="s">
        <v>1526</v>
      </c>
      <c r="E7" s="13" t="s">
        <v>1527</v>
      </c>
      <c r="F7" s="17" t="s">
        <v>146</v>
      </c>
    </row>
    <row r="8" spans="1:6" s="4" customFormat="1" x14ac:dyDescent="0.25">
      <c r="A8" s="8" t="s">
        <v>1528</v>
      </c>
      <c r="B8" s="10" t="s">
        <v>1524</v>
      </c>
      <c r="C8" s="9" t="s">
        <v>1529</v>
      </c>
      <c r="D8" s="9" t="s">
        <v>1530</v>
      </c>
      <c r="E8" s="9" t="s">
        <v>1531</v>
      </c>
      <c r="F8" s="17" t="s">
        <v>146</v>
      </c>
    </row>
    <row r="9" spans="1:6" s="4" customFormat="1" x14ac:dyDescent="0.25">
      <c r="A9" s="12" t="s">
        <v>1532</v>
      </c>
      <c r="B9" s="14" t="s">
        <v>1524</v>
      </c>
      <c r="C9" s="13" t="s">
        <v>1533</v>
      </c>
      <c r="D9" s="13" t="s">
        <v>1534</v>
      </c>
      <c r="E9" s="13" t="s">
        <v>1535</v>
      </c>
      <c r="F9" s="25" t="s">
        <v>327</v>
      </c>
    </row>
    <row r="10" spans="1:6" s="4" customFormat="1" x14ac:dyDescent="0.25">
      <c r="A10" s="8" t="s">
        <v>1536</v>
      </c>
      <c r="B10" s="10" t="s">
        <v>1537</v>
      </c>
      <c r="C10" s="9" t="s">
        <v>1538</v>
      </c>
      <c r="D10" s="9" t="s">
        <v>1539</v>
      </c>
      <c r="E10" s="9" t="s">
        <v>1540</v>
      </c>
      <c r="F10" s="22" t="s">
        <v>82</v>
      </c>
    </row>
    <row r="11" spans="1:6" s="4" customFormat="1" x14ac:dyDescent="0.25">
      <c r="A11" s="12" t="s">
        <v>1541</v>
      </c>
      <c r="B11" s="14" t="s">
        <v>1537</v>
      </c>
      <c r="C11" s="13" t="s">
        <v>1542</v>
      </c>
      <c r="D11" s="13" t="s">
        <v>1543</v>
      </c>
      <c r="E11" s="13" t="s">
        <v>1544</v>
      </c>
      <c r="F11" s="22" t="s">
        <v>82</v>
      </c>
    </row>
    <row r="12" spans="1:6" s="4" customFormat="1" x14ac:dyDescent="0.25">
      <c r="A12" s="8" t="s">
        <v>1545</v>
      </c>
      <c r="B12" s="10" t="s">
        <v>1537</v>
      </c>
      <c r="C12" s="9" t="s">
        <v>1546</v>
      </c>
      <c r="D12" s="9" t="s">
        <v>1547</v>
      </c>
      <c r="E12" s="9" t="s">
        <v>1548</v>
      </c>
      <c r="F12" s="22" t="s">
        <v>82</v>
      </c>
    </row>
    <row r="13" spans="1:6" s="4" customFormat="1" x14ac:dyDescent="0.25">
      <c r="A13" s="12" t="s">
        <v>1549</v>
      </c>
      <c r="B13" s="14" t="s">
        <v>1550</v>
      </c>
      <c r="C13" s="13" t="s">
        <v>1551</v>
      </c>
      <c r="D13" s="13" t="s">
        <v>1552</v>
      </c>
      <c r="E13" s="13" t="s">
        <v>1553</v>
      </c>
      <c r="F13" s="17" t="s">
        <v>146</v>
      </c>
    </row>
    <row r="14" spans="1:6" s="4" customFormat="1" x14ac:dyDescent="0.25">
      <c r="A14" s="8" t="s">
        <v>1554</v>
      </c>
      <c r="B14" s="10" t="s">
        <v>1550</v>
      </c>
      <c r="C14" s="9" t="s">
        <v>1555</v>
      </c>
      <c r="D14" s="9" t="s">
        <v>1556</v>
      </c>
      <c r="E14" s="9" t="s">
        <v>1557</v>
      </c>
      <c r="F14" s="25" t="s">
        <v>327</v>
      </c>
    </row>
    <row r="15" spans="1:6" s="4" customFormat="1" x14ac:dyDescent="0.25">
      <c r="A15" s="12" t="s">
        <v>1558</v>
      </c>
      <c r="B15" s="14" t="s">
        <v>1559</v>
      </c>
      <c r="C15" s="13" t="s">
        <v>1560</v>
      </c>
      <c r="D15" s="13" t="s">
        <v>1561</v>
      </c>
      <c r="E15" s="13" t="s">
        <v>1562</v>
      </c>
      <c r="F15" s="17" t="s">
        <v>146</v>
      </c>
    </row>
    <row r="16" spans="1:6" s="4" customFormat="1" x14ac:dyDescent="0.25">
      <c r="A16" s="8" t="s">
        <v>1563</v>
      </c>
      <c r="B16" s="10" t="s">
        <v>1559</v>
      </c>
      <c r="C16" s="9" t="s">
        <v>1564</v>
      </c>
      <c r="D16" s="9" t="s">
        <v>1565</v>
      </c>
      <c r="E16" s="9" t="s">
        <v>1566</v>
      </c>
      <c r="F16" s="25" t="s">
        <v>327</v>
      </c>
    </row>
    <row r="17" spans="1:6" s="4" customFormat="1" x14ac:dyDescent="0.25">
      <c r="A17" s="12" t="s">
        <v>1567</v>
      </c>
      <c r="B17" s="14" t="s">
        <v>1568</v>
      </c>
      <c r="C17" s="13" t="s">
        <v>1569</v>
      </c>
      <c r="D17" s="13" t="s">
        <v>1570</v>
      </c>
      <c r="E17" s="13" t="s">
        <v>1571</v>
      </c>
      <c r="F17" s="17" t="s">
        <v>146</v>
      </c>
    </row>
    <row r="18" spans="1:6" s="4" customFormat="1" x14ac:dyDescent="0.25">
      <c r="A18" s="8" t="s">
        <v>1572</v>
      </c>
      <c r="B18" s="10" t="s">
        <v>1573</v>
      </c>
      <c r="C18" s="9" t="s">
        <v>1574</v>
      </c>
      <c r="D18" s="9" t="s">
        <v>1575</v>
      </c>
      <c r="E18" s="9" t="s">
        <v>1576</v>
      </c>
      <c r="F18" s="22" t="s">
        <v>82</v>
      </c>
    </row>
    <row r="19" spans="1:6" s="4" customFormat="1" x14ac:dyDescent="0.25">
      <c r="A19" s="12" t="s">
        <v>1577</v>
      </c>
      <c r="B19" s="14" t="s">
        <v>1537</v>
      </c>
      <c r="C19" s="13" t="s">
        <v>1578</v>
      </c>
      <c r="D19" s="13" t="s">
        <v>1579</v>
      </c>
      <c r="E19" s="13" t="s">
        <v>1580</v>
      </c>
      <c r="F19" s="22" t="s">
        <v>82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0" customWidth="1"/>
    <col min="3" max="3" width="38" customWidth="1"/>
  </cols>
  <sheetData>
    <row r="1" ht="30" customHeight="1" spans="1:3" x14ac:dyDescent="0.25">
      <c r="A1" s="7" t="s">
        <v>1581</v>
      </c>
      <c r="B1" s="7" t="s">
        <v>1582</v>
      </c>
      <c r="C1" s="7" t="s">
        <v>1583</v>
      </c>
    </row>
    <row r="2" spans="1:3" s="4" customFormat="1" x14ac:dyDescent="0.25">
      <c r="A2" s="37" t="s">
        <v>1584</v>
      </c>
      <c r="B2" s="9" t="s">
        <v>1585</v>
      </c>
      <c r="C2" s="9" t="s">
        <v>1586</v>
      </c>
    </row>
    <row r="3" spans="1:3" s="4" customFormat="1" x14ac:dyDescent="0.25">
      <c r="A3" s="38" t="s">
        <v>1587</v>
      </c>
      <c r="B3" s="13" t="s">
        <v>1588</v>
      </c>
      <c r="C3" s="13" t="s">
        <v>1589</v>
      </c>
    </row>
    <row r="4" spans="1:3" s="4" customFormat="1" x14ac:dyDescent="0.25">
      <c r="A4" s="37" t="s">
        <v>1590</v>
      </c>
      <c r="B4" s="9" t="s">
        <v>1591</v>
      </c>
      <c r="C4" s="9" t="s">
        <v>1592</v>
      </c>
    </row>
    <row r="5" spans="1:3" s="4" customFormat="1" x14ac:dyDescent="0.25">
      <c r="A5" s="38" t="s">
        <v>1593</v>
      </c>
      <c r="B5" s="13" t="s">
        <v>1594</v>
      </c>
      <c r="C5" s="13" t="s">
        <v>1595</v>
      </c>
    </row>
    <row r="6" spans="1:3" s="4" customFormat="1" x14ac:dyDescent="0.25">
      <c r="A6" s="37" t="s">
        <v>1596</v>
      </c>
      <c r="B6" s="9" t="s">
        <v>1597</v>
      </c>
      <c r="C6" s="9" t="s">
        <v>443</v>
      </c>
    </row>
    <row r="7" spans="1:3" s="4" customFormat="1" x14ac:dyDescent="0.25">
      <c r="A7" s="38" t="s">
        <v>1598</v>
      </c>
      <c r="B7" s="13" t="s">
        <v>1599</v>
      </c>
      <c r="C7" s="13" t="s">
        <v>449</v>
      </c>
    </row>
    <row r="8" spans="1:3" s="4" customFormat="1" x14ac:dyDescent="0.25">
      <c r="A8" s="37" t="s">
        <v>1600</v>
      </c>
      <c r="B8" s="9" t="s">
        <v>1601</v>
      </c>
      <c r="C8" s="9" t="s">
        <v>1602</v>
      </c>
    </row>
    <row r="9" spans="1:3" s="4" customFormat="1" x14ac:dyDescent="0.25">
      <c r="A9" s="38" t="s">
        <v>1603</v>
      </c>
      <c r="B9" s="13" t="s">
        <v>1604</v>
      </c>
      <c r="C9" s="13" t="s">
        <v>1605</v>
      </c>
    </row>
    <row r="10" spans="1:3" s="4" customFormat="1" x14ac:dyDescent="0.25">
      <c r="A10" s="37" t="s">
        <v>1606</v>
      </c>
      <c r="B10" s="9" t="s">
        <v>1607</v>
      </c>
      <c r="C10" s="9" t="s">
        <v>1608</v>
      </c>
    </row>
    <row r="11" spans="1:3" s="4" customFormat="1" x14ac:dyDescent="0.25">
      <c r="A11" s="38" t="s">
        <v>1609</v>
      </c>
      <c r="B11" s="13" t="s">
        <v>1610</v>
      </c>
      <c r="C11" s="13" t="s">
        <v>1611</v>
      </c>
    </row>
    <row r="12" spans="1:3" s="4" customFormat="1" x14ac:dyDescent="0.25">
      <c r="A12" s="37" t="s">
        <v>1612</v>
      </c>
      <c r="B12" s="9" t="s">
        <v>1613</v>
      </c>
      <c r="C12" s="9" t="s">
        <v>1614</v>
      </c>
    </row>
    <row r="13" spans="1:3" s="4" customFormat="1" x14ac:dyDescent="0.25">
      <c r="A13" s="38" t="s">
        <v>1615</v>
      </c>
      <c r="B13" s="13" t="s">
        <v>1616</v>
      </c>
      <c r="C13" s="13" t="s">
        <v>1617</v>
      </c>
    </row>
    <row r="14" spans="1:3" s="4" customFormat="1" x14ac:dyDescent="0.25">
      <c r="A14" s="37" t="s">
        <v>1618</v>
      </c>
      <c r="B14" s="9" t="s">
        <v>1619</v>
      </c>
      <c r="C14" s="9" t="s">
        <v>1620</v>
      </c>
    </row>
    <row r="15" spans="1:3" s="4" customFormat="1" x14ac:dyDescent="0.25">
      <c r="A15" s="38" t="s">
        <v>1621</v>
      </c>
      <c r="B15" s="13" t="s">
        <v>1622</v>
      </c>
      <c r="C15" s="13" t="s">
        <v>1589</v>
      </c>
    </row>
    <row r="16" spans="1:3" s="4" customFormat="1" x14ac:dyDescent="0.25">
      <c r="A16" s="37" t="s">
        <v>1623</v>
      </c>
      <c r="B16" s="9" t="s">
        <v>1624</v>
      </c>
      <c r="C16" s="9" t="s">
        <v>1625</v>
      </c>
    </row>
    <row r="17" spans="1:3" s="4" customFormat="1" x14ac:dyDescent="0.25">
      <c r="A17" s="38" t="s">
        <v>1626</v>
      </c>
      <c r="B17" s="13" t="s">
        <v>1627</v>
      </c>
      <c r="C17" s="13" t="s">
        <v>1628</v>
      </c>
    </row>
    <row r="18" spans="1:3" s="4" customFormat="1" x14ac:dyDescent="0.25">
      <c r="A18" s="37" t="s">
        <v>1629</v>
      </c>
      <c r="B18" s="9" t="s">
        <v>1630</v>
      </c>
      <c r="C18" s="9" t="s">
        <v>1631</v>
      </c>
    </row>
    <row r="19" spans="1:3" s="4" customFormat="1" x14ac:dyDescent="0.25">
      <c r="A19" s="38" t="s">
        <v>1632</v>
      </c>
      <c r="B19" s="13" t="s">
        <v>1633</v>
      </c>
      <c r="C19" s="13" t="s">
        <v>1634</v>
      </c>
    </row>
    <row r="20" spans="1:3" s="4" customFormat="1" x14ac:dyDescent="0.25">
      <c r="A20" s="37" t="s">
        <v>1635</v>
      </c>
      <c r="B20" s="9" t="s">
        <v>1636</v>
      </c>
      <c r="C20" s="9" t="s">
        <v>1637</v>
      </c>
    </row>
    <row r="21" spans="1:3" s="4" customFormat="1" x14ac:dyDescent="0.25">
      <c r="A21" s="38" t="s">
        <v>1638</v>
      </c>
      <c r="B21" s="13" t="s">
        <v>1639</v>
      </c>
      <c r="C21" s="13" t="s">
        <v>1640</v>
      </c>
    </row>
    <row r="22" spans="1:3" s="4" customFormat="1" x14ac:dyDescent="0.25">
      <c r="A22" s="37" t="s">
        <v>1641</v>
      </c>
      <c r="B22" s="9" t="s">
        <v>1642</v>
      </c>
      <c r="C22" s="9" t="s">
        <v>1643</v>
      </c>
    </row>
    <row r="23" spans="1:3" s="4" customFormat="1" x14ac:dyDescent="0.25">
      <c r="A23" s="38" t="s">
        <v>1644</v>
      </c>
      <c r="B23" s="13" t="s">
        <v>1645</v>
      </c>
      <c r="C23" s="13" t="s">
        <v>1646</v>
      </c>
    </row>
    <row r="24" spans="1:3" s="4" customFormat="1" x14ac:dyDescent="0.25">
      <c r="A24" s="37" t="s">
        <v>1647</v>
      </c>
      <c r="B24" s="9" t="s">
        <v>1648</v>
      </c>
      <c r="C24" s="9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90" customWidth="1"/>
  </cols>
  <sheetData>
    <row r="1" ht="30" customHeight="1" spans="1:2" x14ac:dyDescent="0.25">
      <c r="A1" s="7" t="s">
        <v>1650</v>
      </c>
      <c r="B1" s="7" t="s">
        <v>1582</v>
      </c>
    </row>
    <row r="2" spans="1:2" s="4" customFormat="1" x14ac:dyDescent="0.25">
      <c r="A2" s="37" t="s">
        <v>1651</v>
      </c>
      <c r="B2" s="9" t="s">
        <v>1652</v>
      </c>
    </row>
    <row r="3" spans="1:2" s="4" customFormat="1" x14ac:dyDescent="0.25">
      <c r="A3" s="38" t="s">
        <v>1653</v>
      </c>
      <c r="B3" s="13" t="s">
        <v>1654</v>
      </c>
    </row>
    <row r="4" spans="1:2" s="4" customFormat="1" x14ac:dyDescent="0.25">
      <c r="A4" s="37" t="s">
        <v>1655</v>
      </c>
      <c r="B4" s="9" t="s">
        <v>1656</v>
      </c>
    </row>
    <row r="5" spans="1:2" s="4" customFormat="1" x14ac:dyDescent="0.25">
      <c r="A5" s="38" t="s">
        <v>1657</v>
      </c>
      <c r="B5" s="13" t="s">
        <v>1658</v>
      </c>
    </row>
    <row r="6" spans="1:2" s="4" customFormat="1" x14ac:dyDescent="0.25">
      <c r="A6" s="37" t="s">
        <v>1659</v>
      </c>
      <c r="B6" s="9" t="s">
        <v>1660</v>
      </c>
    </row>
    <row r="7" spans="1:2" s="4" customFormat="1" x14ac:dyDescent="0.25">
      <c r="A7" s="38" t="s">
        <v>1661</v>
      </c>
      <c r="B7" s="13" t="s">
        <v>1662</v>
      </c>
    </row>
    <row r="8" spans="1:2" s="4" customFormat="1" x14ac:dyDescent="0.25">
      <c r="A8" s="37" t="s">
        <v>1663</v>
      </c>
      <c r="B8" s="9" t="s">
        <v>1664</v>
      </c>
    </row>
    <row r="9" spans="1:2" s="4" customFormat="1" x14ac:dyDescent="0.25">
      <c r="A9" s="38" t="s">
        <v>1665</v>
      </c>
      <c r="B9" s="13" t="s">
        <v>1666</v>
      </c>
    </row>
    <row r="10" spans="1:2" s="4" customFormat="1" x14ac:dyDescent="0.25">
      <c r="A10" s="37" t="s">
        <v>1667</v>
      </c>
      <c r="B10" s="9" t="s">
        <v>1668</v>
      </c>
    </row>
    <row r="11" spans="1:2" s="4" customFormat="1" x14ac:dyDescent="0.25">
      <c r="A11" s="38" t="s">
        <v>1669</v>
      </c>
      <c r="B11" s="13" t="s">
        <v>1670</v>
      </c>
    </row>
    <row r="12" spans="1:2" s="4" customFormat="1" x14ac:dyDescent="0.25">
      <c r="A12" s="37" t="s">
        <v>1671</v>
      </c>
      <c r="B12" s="9" t="s">
        <v>1672</v>
      </c>
    </row>
    <row r="13" spans="1:2" s="4" customFormat="1" x14ac:dyDescent="0.25">
      <c r="A13" s="38" t="s">
        <v>1673</v>
      </c>
      <c r="B13" s="13" t="s">
        <v>1674</v>
      </c>
    </row>
    <row r="14" spans="1:2" s="4" customFormat="1" x14ac:dyDescent="0.25">
      <c r="A14" s="37" t="s">
        <v>1675</v>
      </c>
      <c r="B14" s="9" t="s">
        <v>1676</v>
      </c>
    </row>
    <row r="15" spans="1:2" s="4" customFormat="1" x14ac:dyDescent="0.25">
      <c r="A15" s="38" t="s">
        <v>1677</v>
      </c>
      <c r="B15" s="13" t="s">
        <v>1678</v>
      </c>
    </row>
    <row r="16" spans="1:2" s="4" customFormat="1" x14ac:dyDescent="0.25">
      <c r="A16" s="37" t="s">
        <v>1679</v>
      </c>
      <c r="B16" s="9" t="s">
        <v>1680</v>
      </c>
    </row>
    <row r="17" spans="1:2" s="4" customFormat="1" x14ac:dyDescent="0.25">
      <c r="A17" s="38" t="s">
        <v>1681</v>
      </c>
      <c r="B17" s="13" t="s">
        <v>1682</v>
      </c>
    </row>
    <row r="18" spans="1:2" s="4" customFormat="1" x14ac:dyDescent="0.25">
      <c r="A18" s="37" t="s">
        <v>1683</v>
      </c>
      <c r="B18" s="9" t="s">
        <v>1684</v>
      </c>
    </row>
    <row r="19" spans="1:2" s="4" customFormat="1" x14ac:dyDescent="0.25">
      <c r="A19" s="38" t="s">
        <v>1685</v>
      </c>
      <c r="B19" s="13" t="s">
        <v>1686</v>
      </c>
    </row>
    <row r="20" spans="1:2" s="4" customFormat="1" x14ac:dyDescent="0.25">
      <c r="A20" s="37" t="s">
        <v>1687</v>
      </c>
      <c r="B20" s="9" t="s">
        <v>1688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Casos de Teste</vt:lpstr>
      <vt:lpstr>Matriz de Cobertura por Arquivo</vt:lpstr>
      <vt:lpstr>Lacunas de Testes Unitários</vt:lpstr>
      <vt:lpstr>Resumo</vt:lpstr>
      <vt:lpstr>Não Funcionais</vt:lpstr>
      <vt:lpstr>Rastreabilidade</vt:lpstr>
      <vt:lpstr>Ambiente e Massa de 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JobsIA - Equipe de Qualidade</dc:creator>
  <dc:title/>
  <dc:subject/>
  <dc:description/>
  <cp:keywords/>
  <cp:category/>
  <cp:lastModifiedBy>Unknown</cp:lastModifiedBy>
  <dcterms:created xsi:type="dcterms:W3CDTF">2026-08-14T00:00:00Z</dcterms:created>
  <dcterms:modified xsi:type="dcterms:W3CDTF">2026-08-14T00:00:00Z</dcterms:modified>
</cp:coreProperties>
</file>